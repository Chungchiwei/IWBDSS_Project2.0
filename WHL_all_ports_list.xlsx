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xxxx\Desktop\Python專案\WNI_WEATHER_REPORT\"/>
    </mc:Choice>
  </mc:AlternateContent>
  <xr:revisionPtr revIDLastSave="0" documentId="13_ncr:1_{2584ED4D-968C-4713-A754-67BF4CC8A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ports_list" sheetId="1" r:id="rId1"/>
    <sheet name="工作表2" sheetId="4" r:id="rId2"/>
  </sheets>
  <definedNames>
    <definedName name="_xlnm._FilterDatabase" localSheetId="0" hidden="1">all_ports_list!$A$1:$I$91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10" i="4"/>
  <c r="H11" i="4"/>
  <c r="H12" i="4"/>
  <c r="H13" i="4"/>
  <c r="H14" i="4"/>
  <c r="H15" i="4"/>
  <c r="H16" i="4"/>
  <c r="H17" i="4"/>
  <c r="H18" i="4"/>
  <c r="H20" i="4"/>
  <c r="H23" i="4"/>
  <c r="H27" i="4"/>
  <c r="H29" i="4"/>
  <c r="H31" i="4"/>
  <c r="H32" i="4"/>
  <c r="H33" i="4"/>
  <c r="H34" i="4"/>
  <c r="H35" i="4"/>
  <c r="H36" i="4"/>
  <c r="H37" i="4"/>
  <c r="H38" i="4"/>
  <c r="H39" i="4"/>
  <c r="H41" i="4"/>
  <c r="H42" i="4"/>
  <c r="H43" i="4"/>
  <c r="H44" i="4"/>
  <c r="H46" i="4"/>
  <c r="H48" i="4"/>
  <c r="H50" i="4"/>
  <c r="H51" i="4"/>
  <c r="H52" i="4"/>
  <c r="H53" i="4"/>
  <c r="H54" i="4"/>
  <c r="H55" i="4"/>
  <c r="H56" i="4"/>
  <c r="H57" i="4"/>
  <c r="H58" i="4"/>
  <c r="H59" i="4"/>
  <c r="H61" i="4"/>
  <c r="H64" i="4"/>
  <c r="H65" i="4"/>
  <c r="H67" i="4"/>
  <c r="H68" i="4"/>
  <c r="H69" i="4"/>
  <c r="H71" i="4"/>
  <c r="H73" i="4"/>
  <c r="H74" i="4"/>
  <c r="H75" i="4"/>
  <c r="H76" i="4"/>
  <c r="H77" i="4"/>
  <c r="H78" i="4"/>
  <c r="H79" i="4"/>
  <c r="H80" i="4"/>
  <c r="H81" i="4"/>
  <c r="H82" i="4"/>
  <c r="H84" i="4"/>
  <c r="H85" i="4"/>
  <c r="H86" i="4"/>
  <c r="H87" i="4"/>
  <c r="H90" i="4"/>
  <c r="H88" i="4"/>
  <c r="H89" i="4"/>
  <c r="H6" i="4"/>
  <c r="H7" i="4"/>
  <c r="H8" i="4"/>
  <c r="H9" i="4"/>
  <c r="H19" i="4"/>
  <c r="H21" i="4"/>
  <c r="H22" i="4"/>
  <c r="H26" i="4"/>
  <c r="H30" i="4"/>
  <c r="H40" i="4"/>
  <c r="H45" i="4"/>
  <c r="H47" i="4"/>
  <c r="H49" i="4"/>
  <c r="H60" i="4"/>
  <c r="H62" i="4"/>
  <c r="H66" i="4"/>
  <c r="H72" i="4"/>
  <c r="H83" i="4"/>
  <c r="H2" i="4"/>
  <c r="D3" i="4"/>
  <c r="E3" i="4"/>
  <c r="F3" i="4"/>
  <c r="G3" i="4"/>
  <c r="H3" i="4"/>
  <c r="I3" i="4"/>
  <c r="D4" i="4"/>
  <c r="E4" i="4"/>
  <c r="F4" i="4"/>
  <c r="G4" i="4"/>
  <c r="I4" i="4"/>
  <c r="D5" i="4"/>
  <c r="E5" i="4"/>
  <c r="F5" i="4"/>
  <c r="G5" i="4"/>
  <c r="H5" i="4"/>
  <c r="I5" i="4"/>
  <c r="D6" i="4"/>
  <c r="E6" i="4"/>
  <c r="F6" i="4"/>
  <c r="G6" i="4"/>
  <c r="I6" i="4"/>
  <c r="D7" i="4"/>
  <c r="E7" i="4"/>
  <c r="F7" i="4"/>
  <c r="G7" i="4"/>
  <c r="I7" i="4"/>
  <c r="D8" i="4"/>
  <c r="E8" i="4"/>
  <c r="F8" i="4"/>
  <c r="G8" i="4"/>
  <c r="I8" i="4"/>
  <c r="D9" i="4"/>
  <c r="E9" i="4"/>
  <c r="F9" i="4"/>
  <c r="G9" i="4"/>
  <c r="I9" i="4"/>
  <c r="D10" i="4"/>
  <c r="E10" i="4"/>
  <c r="F10" i="4"/>
  <c r="G10" i="4"/>
  <c r="I10" i="4"/>
  <c r="D11" i="4"/>
  <c r="E11" i="4"/>
  <c r="F11" i="4"/>
  <c r="G11" i="4"/>
  <c r="I11" i="4"/>
  <c r="D12" i="4"/>
  <c r="E12" i="4"/>
  <c r="F12" i="4"/>
  <c r="G12" i="4"/>
  <c r="I12" i="4"/>
  <c r="D13" i="4"/>
  <c r="E13" i="4"/>
  <c r="F13" i="4"/>
  <c r="G13" i="4"/>
  <c r="I13" i="4"/>
  <c r="D14" i="4"/>
  <c r="E14" i="4"/>
  <c r="F14" i="4"/>
  <c r="G14" i="4"/>
  <c r="I14" i="4"/>
  <c r="D15" i="4"/>
  <c r="E15" i="4"/>
  <c r="F15" i="4"/>
  <c r="G15" i="4"/>
  <c r="I15" i="4"/>
  <c r="D16" i="4"/>
  <c r="E16" i="4"/>
  <c r="F16" i="4"/>
  <c r="G16" i="4"/>
  <c r="I16" i="4"/>
  <c r="D17" i="4"/>
  <c r="E17" i="4"/>
  <c r="F17" i="4"/>
  <c r="G17" i="4"/>
  <c r="I17" i="4"/>
  <c r="D18" i="4"/>
  <c r="E18" i="4"/>
  <c r="F18" i="4"/>
  <c r="G18" i="4"/>
  <c r="I18" i="4"/>
  <c r="D19" i="4"/>
  <c r="E19" i="4"/>
  <c r="F19" i="4"/>
  <c r="G19" i="4"/>
  <c r="I19" i="4"/>
  <c r="D20" i="4"/>
  <c r="E20" i="4"/>
  <c r="F20" i="4"/>
  <c r="G20" i="4"/>
  <c r="I20" i="4"/>
  <c r="D21" i="4"/>
  <c r="E21" i="4"/>
  <c r="F21" i="4"/>
  <c r="G21" i="4"/>
  <c r="I21" i="4"/>
  <c r="D22" i="4"/>
  <c r="E22" i="4"/>
  <c r="F22" i="4"/>
  <c r="G22" i="4"/>
  <c r="I22" i="4"/>
  <c r="D23" i="4"/>
  <c r="E23" i="4"/>
  <c r="F23" i="4"/>
  <c r="G23" i="4"/>
  <c r="I23" i="4"/>
  <c r="D24" i="4"/>
  <c r="E24" i="4"/>
  <c r="F24" i="4"/>
  <c r="G24" i="4"/>
  <c r="H24" i="4"/>
  <c r="I24" i="4"/>
  <c r="D25" i="4"/>
  <c r="E25" i="4"/>
  <c r="F25" i="4"/>
  <c r="G25" i="4"/>
  <c r="H25" i="4"/>
  <c r="I25" i="4"/>
  <c r="D26" i="4"/>
  <c r="E26" i="4"/>
  <c r="F26" i="4"/>
  <c r="G26" i="4"/>
  <c r="I26" i="4"/>
  <c r="D27" i="4"/>
  <c r="E27" i="4"/>
  <c r="F27" i="4"/>
  <c r="G27" i="4"/>
  <c r="I27" i="4"/>
  <c r="D28" i="4"/>
  <c r="E28" i="4"/>
  <c r="F28" i="4"/>
  <c r="G28" i="4"/>
  <c r="I28" i="4"/>
  <c r="D29" i="4"/>
  <c r="E29" i="4"/>
  <c r="F29" i="4"/>
  <c r="G29" i="4"/>
  <c r="I29" i="4"/>
  <c r="D30" i="4"/>
  <c r="E30" i="4"/>
  <c r="F30" i="4"/>
  <c r="G30" i="4"/>
  <c r="I30" i="4"/>
  <c r="D31" i="4"/>
  <c r="E31" i="4"/>
  <c r="F31" i="4"/>
  <c r="G31" i="4"/>
  <c r="I31" i="4"/>
  <c r="D32" i="4"/>
  <c r="E32" i="4"/>
  <c r="F32" i="4"/>
  <c r="G32" i="4"/>
  <c r="I32" i="4"/>
  <c r="D33" i="4"/>
  <c r="E33" i="4"/>
  <c r="F33" i="4"/>
  <c r="G33" i="4"/>
  <c r="I33" i="4"/>
  <c r="D34" i="4"/>
  <c r="E34" i="4"/>
  <c r="F34" i="4"/>
  <c r="G34" i="4"/>
  <c r="I34" i="4"/>
  <c r="D35" i="4"/>
  <c r="E35" i="4"/>
  <c r="F35" i="4"/>
  <c r="G35" i="4"/>
  <c r="I35" i="4"/>
  <c r="D36" i="4"/>
  <c r="E36" i="4"/>
  <c r="F36" i="4"/>
  <c r="G36" i="4"/>
  <c r="I36" i="4"/>
  <c r="D37" i="4"/>
  <c r="E37" i="4"/>
  <c r="F37" i="4"/>
  <c r="G37" i="4"/>
  <c r="I37" i="4"/>
  <c r="D38" i="4"/>
  <c r="E38" i="4"/>
  <c r="F38" i="4"/>
  <c r="G38" i="4"/>
  <c r="I38" i="4"/>
  <c r="D39" i="4"/>
  <c r="E39" i="4"/>
  <c r="F39" i="4"/>
  <c r="G39" i="4"/>
  <c r="I39" i="4"/>
  <c r="D40" i="4"/>
  <c r="E40" i="4"/>
  <c r="F40" i="4"/>
  <c r="G40" i="4"/>
  <c r="I40" i="4"/>
  <c r="D41" i="4"/>
  <c r="E41" i="4"/>
  <c r="F41" i="4"/>
  <c r="G41" i="4"/>
  <c r="I41" i="4"/>
  <c r="D42" i="4"/>
  <c r="E42" i="4"/>
  <c r="F42" i="4"/>
  <c r="G42" i="4"/>
  <c r="I42" i="4"/>
  <c r="D43" i="4"/>
  <c r="E43" i="4"/>
  <c r="F43" i="4"/>
  <c r="G43" i="4"/>
  <c r="I43" i="4"/>
  <c r="D44" i="4"/>
  <c r="E44" i="4"/>
  <c r="F44" i="4"/>
  <c r="G44" i="4"/>
  <c r="I44" i="4"/>
  <c r="D45" i="4"/>
  <c r="E45" i="4"/>
  <c r="F45" i="4"/>
  <c r="G45" i="4"/>
  <c r="I45" i="4"/>
  <c r="D46" i="4"/>
  <c r="E46" i="4"/>
  <c r="F46" i="4"/>
  <c r="G46" i="4"/>
  <c r="I46" i="4"/>
  <c r="D47" i="4"/>
  <c r="E47" i="4"/>
  <c r="F47" i="4"/>
  <c r="G47" i="4"/>
  <c r="I47" i="4"/>
  <c r="D48" i="4"/>
  <c r="E48" i="4"/>
  <c r="F48" i="4"/>
  <c r="G48" i="4"/>
  <c r="I48" i="4"/>
  <c r="D49" i="4"/>
  <c r="E49" i="4"/>
  <c r="F49" i="4"/>
  <c r="G49" i="4"/>
  <c r="I49" i="4"/>
  <c r="D50" i="4"/>
  <c r="E50" i="4"/>
  <c r="F50" i="4"/>
  <c r="G50" i="4"/>
  <c r="I50" i="4"/>
  <c r="D51" i="4"/>
  <c r="E51" i="4"/>
  <c r="F51" i="4"/>
  <c r="G51" i="4"/>
  <c r="I51" i="4"/>
  <c r="D52" i="4"/>
  <c r="E52" i="4"/>
  <c r="F52" i="4"/>
  <c r="G52" i="4"/>
  <c r="I52" i="4"/>
  <c r="D53" i="4"/>
  <c r="E53" i="4"/>
  <c r="F53" i="4"/>
  <c r="G53" i="4"/>
  <c r="I53" i="4"/>
  <c r="D54" i="4"/>
  <c r="E54" i="4"/>
  <c r="F54" i="4"/>
  <c r="G54" i="4"/>
  <c r="I54" i="4"/>
  <c r="D55" i="4"/>
  <c r="E55" i="4"/>
  <c r="F55" i="4"/>
  <c r="G55" i="4"/>
  <c r="I55" i="4"/>
  <c r="D56" i="4"/>
  <c r="E56" i="4"/>
  <c r="F56" i="4"/>
  <c r="G56" i="4"/>
  <c r="I56" i="4"/>
  <c r="D57" i="4"/>
  <c r="E57" i="4"/>
  <c r="F57" i="4"/>
  <c r="G57" i="4"/>
  <c r="I57" i="4"/>
  <c r="D58" i="4"/>
  <c r="E58" i="4"/>
  <c r="F58" i="4"/>
  <c r="G58" i="4"/>
  <c r="I58" i="4"/>
  <c r="D59" i="4"/>
  <c r="E59" i="4"/>
  <c r="F59" i="4"/>
  <c r="G59" i="4"/>
  <c r="I59" i="4"/>
  <c r="D60" i="4"/>
  <c r="E60" i="4"/>
  <c r="F60" i="4"/>
  <c r="G60" i="4"/>
  <c r="I60" i="4"/>
  <c r="D61" i="4"/>
  <c r="E61" i="4"/>
  <c r="F61" i="4"/>
  <c r="G61" i="4"/>
  <c r="I61" i="4"/>
  <c r="D62" i="4"/>
  <c r="E62" i="4"/>
  <c r="F62" i="4"/>
  <c r="G62" i="4"/>
  <c r="I62" i="4"/>
  <c r="D63" i="4"/>
  <c r="E63" i="4"/>
  <c r="F63" i="4"/>
  <c r="G63" i="4"/>
  <c r="I63" i="4"/>
  <c r="D64" i="4"/>
  <c r="E64" i="4"/>
  <c r="F64" i="4"/>
  <c r="G64" i="4"/>
  <c r="I64" i="4"/>
  <c r="D65" i="4"/>
  <c r="E65" i="4"/>
  <c r="F65" i="4"/>
  <c r="G65" i="4"/>
  <c r="I65" i="4"/>
  <c r="D66" i="4"/>
  <c r="E66" i="4"/>
  <c r="F66" i="4"/>
  <c r="G66" i="4"/>
  <c r="I66" i="4"/>
  <c r="D67" i="4"/>
  <c r="E67" i="4"/>
  <c r="F67" i="4"/>
  <c r="G67" i="4"/>
  <c r="I67" i="4"/>
  <c r="D68" i="4"/>
  <c r="E68" i="4"/>
  <c r="F68" i="4"/>
  <c r="G68" i="4"/>
  <c r="I68" i="4"/>
  <c r="D69" i="4"/>
  <c r="E69" i="4"/>
  <c r="F69" i="4"/>
  <c r="G69" i="4"/>
  <c r="I69" i="4"/>
  <c r="D70" i="4"/>
  <c r="E70" i="4"/>
  <c r="F70" i="4"/>
  <c r="G70" i="4"/>
  <c r="I70" i="4"/>
  <c r="D71" i="4"/>
  <c r="E71" i="4"/>
  <c r="F71" i="4"/>
  <c r="G71" i="4"/>
  <c r="I71" i="4"/>
  <c r="D72" i="4"/>
  <c r="E72" i="4"/>
  <c r="F72" i="4"/>
  <c r="G72" i="4"/>
  <c r="I72" i="4"/>
  <c r="D73" i="4"/>
  <c r="E73" i="4"/>
  <c r="F73" i="4"/>
  <c r="G73" i="4"/>
  <c r="I73" i="4"/>
  <c r="D74" i="4"/>
  <c r="E74" i="4"/>
  <c r="F74" i="4"/>
  <c r="G74" i="4"/>
  <c r="I74" i="4"/>
  <c r="D75" i="4"/>
  <c r="E75" i="4"/>
  <c r="F75" i="4"/>
  <c r="G75" i="4"/>
  <c r="I75" i="4"/>
  <c r="D76" i="4"/>
  <c r="E76" i="4"/>
  <c r="F76" i="4"/>
  <c r="G76" i="4"/>
  <c r="I76" i="4"/>
  <c r="D77" i="4"/>
  <c r="E77" i="4"/>
  <c r="F77" i="4"/>
  <c r="G77" i="4"/>
  <c r="I77" i="4"/>
  <c r="D78" i="4"/>
  <c r="E78" i="4"/>
  <c r="F78" i="4"/>
  <c r="G78" i="4"/>
  <c r="I78" i="4"/>
  <c r="D79" i="4"/>
  <c r="E79" i="4"/>
  <c r="F79" i="4"/>
  <c r="G79" i="4"/>
  <c r="I79" i="4"/>
  <c r="D80" i="4"/>
  <c r="E80" i="4"/>
  <c r="F80" i="4"/>
  <c r="G80" i="4"/>
  <c r="I80" i="4"/>
  <c r="D81" i="4"/>
  <c r="E81" i="4"/>
  <c r="F81" i="4"/>
  <c r="G81" i="4"/>
  <c r="I81" i="4"/>
  <c r="D82" i="4"/>
  <c r="E82" i="4"/>
  <c r="F82" i="4"/>
  <c r="G82" i="4"/>
  <c r="I82" i="4"/>
  <c r="D83" i="4"/>
  <c r="E83" i="4"/>
  <c r="F83" i="4"/>
  <c r="G83" i="4"/>
  <c r="I83" i="4"/>
  <c r="D84" i="4"/>
  <c r="E84" i="4"/>
  <c r="F84" i="4"/>
  <c r="G84" i="4"/>
  <c r="I84" i="4"/>
  <c r="D85" i="4"/>
  <c r="E85" i="4"/>
  <c r="F85" i="4"/>
  <c r="G85" i="4"/>
  <c r="I85" i="4"/>
  <c r="D86" i="4"/>
  <c r="E86" i="4"/>
  <c r="F86" i="4"/>
  <c r="G86" i="4"/>
  <c r="I86" i="4"/>
  <c r="D87" i="4"/>
  <c r="E87" i="4"/>
  <c r="F87" i="4"/>
  <c r="G87" i="4"/>
  <c r="I87" i="4"/>
  <c r="D88" i="4"/>
  <c r="E88" i="4"/>
  <c r="F88" i="4"/>
  <c r="G88" i="4"/>
  <c r="I88" i="4"/>
  <c r="D89" i="4"/>
  <c r="E89" i="4"/>
  <c r="F89" i="4"/>
  <c r="G89" i="4"/>
  <c r="I89" i="4"/>
  <c r="D90" i="4"/>
  <c r="E90" i="4"/>
  <c r="F90" i="4"/>
  <c r="G90" i="4"/>
  <c r="I90" i="4"/>
  <c r="D91" i="4"/>
  <c r="E91" i="4"/>
  <c r="F91" i="4"/>
  <c r="G91" i="4"/>
  <c r="H91" i="4"/>
  <c r="I91" i="4"/>
  <c r="D92" i="4"/>
  <c r="E92" i="4"/>
  <c r="F92" i="4"/>
  <c r="G92" i="4"/>
  <c r="H92" i="4"/>
  <c r="I92" i="4"/>
  <c r="D93" i="4"/>
  <c r="E93" i="4"/>
  <c r="F93" i="4"/>
  <c r="G93" i="4"/>
  <c r="H93" i="4"/>
  <c r="I93" i="4"/>
  <c r="I2" i="4"/>
  <c r="G2" i="4"/>
  <c r="F2" i="4"/>
  <c r="E2" i="4"/>
  <c r="D2" i="4"/>
  <c r="H28" i="4" l="1"/>
  <c r="H70" i="4"/>
  <c r="H63" i="4"/>
</calcChain>
</file>

<file path=xl/sharedStrings.xml><?xml version="1.0" encoding="utf-8"?>
<sst xmlns="http://schemas.openxmlformats.org/spreadsheetml/2006/main" count="650" uniqueCount="438">
  <si>
    <t>JEBEL ALI</t>
  </si>
  <si>
    <t>JBA</t>
  </si>
  <si>
    <t>UNITED ARAB EMIRATES</t>
  </si>
  <si>
    <t>CNDLC</t>
  </si>
  <si>
    <t>DALIAN</t>
  </si>
  <si>
    <t>DLN</t>
  </si>
  <si>
    <t>CHINA</t>
  </si>
  <si>
    <t>CNFOC</t>
  </si>
  <si>
    <t>FUZHOU</t>
  </si>
  <si>
    <t>FUZ</t>
  </si>
  <si>
    <t>SHEKOU</t>
  </si>
  <si>
    <t>SHK</t>
  </si>
  <si>
    <t>CNJIA</t>
  </si>
  <si>
    <t>CHSN</t>
  </si>
  <si>
    <t>CNLYG</t>
  </si>
  <si>
    <t>LIANYUNGANG</t>
  </si>
  <si>
    <t>LNG</t>
  </si>
  <si>
    <t>CNNGB</t>
  </si>
  <si>
    <t>NINGBO/BEILUN</t>
  </si>
  <si>
    <t>BEIL</t>
  </si>
  <si>
    <t>CNNSS</t>
  </si>
  <si>
    <t>NANSHA</t>
  </si>
  <si>
    <t>NSA</t>
  </si>
  <si>
    <t>CNQZH</t>
  </si>
  <si>
    <t>QUANZHOU</t>
  </si>
  <si>
    <t>QZH</t>
  </si>
  <si>
    <t>CNRZH</t>
  </si>
  <si>
    <t>RZH</t>
  </si>
  <si>
    <t>CNSHA</t>
  </si>
  <si>
    <t>SHANGHAI</t>
  </si>
  <si>
    <t>SHA</t>
  </si>
  <si>
    <t>CNSKU</t>
  </si>
  <si>
    <t>CNTAO</t>
  </si>
  <si>
    <t>QINGDAO</t>
  </si>
  <si>
    <t>QUN</t>
  </si>
  <si>
    <t>CNXMN</t>
  </si>
  <si>
    <t>XIAMEN</t>
  </si>
  <si>
    <t>XIA</t>
  </si>
  <si>
    <t>CNYTN</t>
  </si>
  <si>
    <t>YANTIAN</t>
  </si>
  <si>
    <t>YNT</t>
  </si>
  <si>
    <t>CNZHA</t>
  </si>
  <si>
    <t>ZHANJIANG</t>
  </si>
  <si>
    <t>ZJG</t>
  </si>
  <si>
    <t>BUENA VENTURA</t>
  </si>
  <si>
    <t>BVENT</t>
  </si>
  <si>
    <t>COLOMBIA</t>
  </si>
  <si>
    <t>ECGYE</t>
  </si>
  <si>
    <t>GUAYAQUIL</t>
  </si>
  <si>
    <t>GUY</t>
  </si>
  <si>
    <t>ECUADOR</t>
  </si>
  <si>
    <t>EGSOK</t>
  </si>
  <si>
    <t>SOKHNA</t>
  </si>
  <si>
    <t>SKH</t>
  </si>
  <si>
    <t>EGYPT</t>
  </si>
  <si>
    <t>PQL</t>
  </si>
  <si>
    <t>GUATEMALA</t>
  </si>
  <si>
    <t>HKHKG</t>
  </si>
  <si>
    <t>HONG KONG</t>
  </si>
  <si>
    <t>HKG</t>
  </si>
  <si>
    <t>IDBLW</t>
  </si>
  <si>
    <t>BELAWAN</t>
  </si>
  <si>
    <t>BLA</t>
  </si>
  <si>
    <t>INDONESIA</t>
  </si>
  <si>
    <t>IDJKT</t>
  </si>
  <si>
    <t>TJP</t>
  </si>
  <si>
    <t>IDSRG</t>
  </si>
  <si>
    <t>SEMARANG</t>
  </si>
  <si>
    <t>SEM</t>
  </si>
  <si>
    <t>IDSUB</t>
  </si>
  <si>
    <t>SURABAYA</t>
  </si>
  <si>
    <t>SRB</t>
  </si>
  <si>
    <t>INCOK</t>
  </si>
  <si>
    <t>COCHIN</t>
  </si>
  <si>
    <t>COC</t>
  </si>
  <si>
    <t>INDIA</t>
  </si>
  <si>
    <t>INKAT</t>
  </si>
  <si>
    <t>KATTUPALLI</t>
  </si>
  <si>
    <t>KTTPL</t>
  </si>
  <si>
    <t>INMAA</t>
  </si>
  <si>
    <t>CHENNAI</t>
  </si>
  <si>
    <t>CNI</t>
  </si>
  <si>
    <t>INMUN</t>
  </si>
  <si>
    <t>MUNDRA</t>
  </si>
  <si>
    <t>MUN</t>
  </si>
  <si>
    <t>NHAVA SHEVA</t>
  </si>
  <si>
    <t>NHA</t>
  </si>
  <si>
    <t>INTUT</t>
  </si>
  <si>
    <t>TUTICORIN</t>
  </si>
  <si>
    <t>TUT</t>
  </si>
  <si>
    <t>INVIZ</t>
  </si>
  <si>
    <t>VISAKHAPATNAM</t>
  </si>
  <si>
    <t>VIS</t>
  </si>
  <si>
    <t>JPCHB</t>
  </si>
  <si>
    <t>CHIBA</t>
  </si>
  <si>
    <t>CHI</t>
  </si>
  <si>
    <t>JAPAN</t>
  </si>
  <si>
    <t>JPFKY</t>
  </si>
  <si>
    <t>FUKUYAMA</t>
  </si>
  <si>
    <t>FKY</t>
  </si>
  <si>
    <t>JPHIJ</t>
  </si>
  <si>
    <t>HIROSHIMA</t>
  </si>
  <si>
    <t>HIR</t>
  </si>
  <si>
    <t>JPHKT</t>
  </si>
  <si>
    <t>HAKATA</t>
  </si>
  <si>
    <t>HAAE</t>
  </si>
  <si>
    <t>KAW</t>
  </si>
  <si>
    <t>JPMIZ</t>
  </si>
  <si>
    <t>MIZUSHIMA</t>
  </si>
  <si>
    <t>MIZ</t>
  </si>
  <si>
    <t>JPMOJ</t>
  </si>
  <si>
    <t>MOJI</t>
  </si>
  <si>
    <t>MOJ</t>
  </si>
  <si>
    <t>JPNGO</t>
  </si>
  <si>
    <t>NAGOYA</t>
  </si>
  <si>
    <t>NAG</t>
  </si>
  <si>
    <t>JPOSA</t>
  </si>
  <si>
    <t>OSAKA</t>
  </si>
  <si>
    <t>OSA</t>
  </si>
  <si>
    <t>JPSMZ</t>
  </si>
  <si>
    <t>SHIMIZU</t>
  </si>
  <si>
    <t>SHM</t>
  </si>
  <si>
    <t>TOKYO</t>
  </si>
  <si>
    <t>TOK</t>
  </si>
  <si>
    <t>JPTYO</t>
  </si>
  <si>
    <t>JPUKB</t>
  </si>
  <si>
    <t>KOBE</t>
  </si>
  <si>
    <t>KOB</t>
  </si>
  <si>
    <t>JPYKK</t>
  </si>
  <si>
    <t>YKK</t>
  </si>
  <si>
    <t>JPYOK</t>
  </si>
  <si>
    <t>YOKOHAMA</t>
  </si>
  <si>
    <t>YOK</t>
  </si>
  <si>
    <t>KHSIH</t>
  </si>
  <si>
    <t>SIHANOUKVILLE</t>
  </si>
  <si>
    <t>SHNKU</t>
  </si>
  <si>
    <t>CAMBODIA</t>
  </si>
  <si>
    <t>KRINC</t>
  </si>
  <si>
    <t>INCHEON</t>
  </si>
  <si>
    <t>INC</t>
  </si>
  <si>
    <t>KOREA, REPUBLIC OF</t>
  </si>
  <si>
    <t>KRPUS</t>
  </si>
  <si>
    <t>BUSAN</t>
  </si>
  <si>
    <t>BUS</t>
  </si>
  <si>
    <t>KRUSN</t>
  </si>
  <si>
    <t>ULSAN</t>
  </si>
  <si>
    <t>ULN</t>
  </si>
  <si>
    <t>LKCMB</t>
  </si>
  <si>
    <t>COLOMBO</t>
  </si>
  <si>
    <t>CMB</t>
  </si>
  <si>
    <t>SRI LANKA</t>
  </si>
  <si>
    <t>MXESE</t>
  </si>
  <si>
    <t>ENSENADA</t>
  </si>
  <si>
    <t>ENS</t>
  </si>
  <si>
    <t>MEXICO</t>
  </si>
  <si>
    <t>MXLZC</t>
  </si>
  <si>
    <t>LAZARO CARDENAS</t>
  </si>
  <si>
    <t>LAZ</t>
  </si>
  <si>
    <t>MXZLO</t>
  </si>
  <si>
    <t>MANZANILLO</t>
  </si>
  <si>
    <t>MAN</t>
  </si>
  <si>
    <t>BUTTERWORTH (BAGAN LUAR)</t>
  </si>
  <si>
    <t>MALAYSIA</t>
  </si>
  <si>
    <t>MYPGU</t>
  </si>
  <si>
    <t>PASIR GUDANG</t>
  </si>
  <si>
    <t>PSI</t>
  </si>
  <si>
    <t>PORT KLANG</t>
  </si>
  <si>
    <t>KLG</t>
  </si>
  <si>
    <t>PACTB</t>
  </si>
  <si>
    <t>CRISTOBAL</t>
  </si>
  <si>
    <t>CRI</t>
  </si>
  <si>
    <t>PANAMA</t>
  </si>
  <si>
    <t>PECLL</t>
  </si>
  <si>
    <t>CALLAO</t>
  </si>
  <si>
    <t>CAL</t>
  </si>
  <si>
    <t>PERU</t>
  </si>
  <si>
    <t>PHCEB</t>
  </si>
  <si>
    <t>CEBU</t>
  </si>
  <si>
    <t>CEB</t>
  </si>
  <si>
    <t>PHILIPPINES</t>
  </si>
  <si>
    <t>PHCGY</t>
  </si>
  <si>
    <t>CAGAYAN DE ORO</t>
  </si>
  <si>
    <t>CAG</t>
  </si>
  <si>
    <t>PHDVO</t>
  </si>
  <si>
    <t>DAVAO</t>
  </si>
  <si>
    <t>DAV</t>
  </si>
  <si>
    <t>MANILA</t>
  </si>
  <si>
    <t>MLA</t>
  </si>
  <si>
    <t>PHSFS</t>
  </si>
  <si>
    <t>SUBIC BAY</t>
  </si>
  <si>
    <t>SUB</t>
  </si>
  <si>
    <t>MUHAMMAD BIN QASIM</t>
  </si>
  <si>
    <t>PBQ</t>
  </si>
  <si>
    <t>PAKISTAN</t>
  </si>
  <si>
    <t>SAJED</t>
  </si>
  <si>
    <t>JEDDAH</t>
  </si>
  <si>
    <t>JED</t>
  </si>
  <si>
    <t>SAUDI ARABIA</t>
  </si>
  <si>
    <t>SGSIN</t>
  </si>
  <si>
    <t>SINGAPORE</t>
  </si>
  <si>
    <t>SGP</t>
  </si>
  <si>
    <t>THBKK</t>
  </si>
  <si>
    <t>BANGKOK</t>
  </si>
  <si>
    <t>BNG</t>
  </si>
  <si>
    <t>THAILAND</t>
  </si>
  <si>
    <t>THLCH</t>
  </si>
  <si>
    <t>LAEM CHABANG</t>
  </si>
  <si>
    <t>LCB</t>
  </si>
  <si>
    <t>TWKEL</t>
  </si>
  <si>
    <t>KEELUNG</t>
  </si>
  <si>
    <t>KEE</t>
  </si>
  <si>
    <t>TAIWAN</t>
  </si>
  <si>
    <t>TWKHH</t>
  </si>
  <si>
    <t>KAOHSIUNG</t>
  </si>
  <si>
    <t>KAO</t>
  </si>
  <si>
    <t>TWTPE</t>
  </si>
  <si>
    <t>TAIPEI</t>
  </si>
  <si>
    <t>TAT</t>
  </si>
  <si>
    <t>TWTXG</t>
  </si>
  <si>
    <t>TAICHUNG</t>
  </si>
  <si>
    <t>TCN</t>
  </si>
  <si>
    <t>USCHS</t>
  </si>
  <si>
    <t>CHARLESTON</t>
  </si>
  <si>
    <t>CHA</t>
  </si>
  <si>
    <t>UNITED STATES</t>
  </si>
  <si>
    <t>USLAX</t>
  </si>
  <si>
    <t>LOS ANGELES</t>
  </si>
  <si>
    <t>LAX</t>
  </si>
  <si>
    <t>USNYC</t>
  </si>
  <si>
    <t>NEW YORK</t>
  </si>
  <si>
    <t>NYK</t>
  </si>
  <si>
    <t>USOAK</t>
  </si>
  <si>
    <t>OAKLAND</t>
  </si>
  <si>
    <t>OAK</t>
  </si>
  <si>
    <t>USORF</t>
  </si>
  <si>
    <t>NORFOLK</t>
  </si>
  <si>
    <t>NOR</t>
  </si>
  <si>
    <t>USSAV</t>
  </si>
  <si>
    <t>SAVANNAH</t>
  </si>
  <si>
    <t>SVA</t>
  </si>
  <si>
    <t>VNCLP</t>
  </si>
  <si>
    <t>CAI LAN</t>
  </si>
  <si>
    <t>CAIL</t>
  </si>
  <si>
    <t>VIET NAM</t>
  </si>
  <si>
    <t>VNDAD</t>
  </si>
  <si>
    <t>DA NANG</t>
  </si>
  <si>
    <t>DAN</t>
  </si>
  <si>
    <t>VNHPH</t>
  </si>
  <si>
    <t>HAIPHONG</t>
  </si>
  <si>
    <t>HAI</t>
  </si>
  <si>
    <t>HO CHI MINH CITY</t>
  </si>
  <si>
    <t>HCM</t>
  </si>
  <si>
    <t>VALPARAISO</t>
  </si>
  <si>
    <t>VLP</t>
  </si>
  <si>
    <t>CHILE</t>
  </si>
  <si>
    <t>KRBNP</t>
  </si>
  <si>
    <t>BUSAN NEW PORT</t>
  </si>
  <si>
    <t>BUSN</t>
  </si>
  <si>
    <t>WNI_Port Code</t>
    <phoneticPr fontId="4" type="noConversion"/>
  </si>
  <si>
    <t>Country</t>
    <phoneticPr fontId="5" type="noConversion"/>
  </si>
  <si>
    <t>Station ID (Object_ID)</t>
    <phoneticPr fontId="5" type="noConversion"/>
  </si>
  <si>
    <t>Lat</t>
    <phoneticPr fontId="5" type="noConversion"/>
  </si>
  <si>
    <t>Lon</t>
    <phoneticPr fontId="5" type="noConversion"/>
  </si>
  <si>
    <t>Port_Code_5</t>
    <phoneticPr fontId="4" type="noConversion"/>
  </si>
  <si>
    <t>ZHOUSHAN</t>
  </si>
  <si>
    <t>CNZOS</t>
  </si>
  <si>
    <t>ZOS</t>
  </si>
  <si>
    <t>CHANG JIANG KOU</t>
  </si>
  <si>
    <t>NJK</t>
  </si>
  <si>
    <t>Port Name(English)</t>
    <phoneticPr fontId="5" type="noConversion"/>
  </si>
  <si>
    <t>Port Name(Chinese)</t>
    <phoneticPr fontId="5" type="noConversion"/>
  </si>
  <si>
    <t>XIAZHI MEN SOUTHERN ANCHORAGE</t>
  </si>
  <si>
    <t>VUNG TAU</t>
  </si>
  <si>
    <t>VGT</t>
  </si>
  <si>
    <t>PHMNN/PHMNS</t>
  </si>
  <si>
    <t>傑貝阿里港</t>
  </si>
  <si>
    <t>大連港</t>
  </si>
  <si>
    <t>福州港</t>
  </si>
  <si>
    <t>TIANJIN</t>
  </si>
  <si>
    <t>天津港</t>
  </si>
  <si>
    <t>嘉興港（乍浦港）</t>
  </si>
  <si>
    <t>連雲港</t>
  </si>
  <si>
    <t>寧波北侖港</t>
  </si>
  <si>
    <t>峽石門南錨地</t>
  </si>
  <si>
    <t>南沙港</t>
  </si>
  <si>
    <t>泉州港</t>
  </si>
  <si>
    <t>RIZHAO</t>
  </si>
  <si>
    <t>日照港</t>
  </si>
  <si>
    <t>上海港</t>
  </si>
  <si>
    <t>舟山港</t>
  </si>
  <si>
    <t>長江口錨地</t>
  </si>
  <si>
    <t>蛇口港</t>
  </si>
  <si>
    <t>青島港</t>
  </si>
  <si>
    <t>廈門港</t>
  </si>
  <si>
    <t>鹽田港</t>
  </si>
  <si>
    <t>湛江港</t>
  </si>
  <si>
    <t>布埃納文圖拉港</t>
  </si>
  <si>
    <t>瓜亞基爾港</t>
  </si>
  <si>
    <t>蘇赫納港</t>
  </si>
  <si>
    <t>PUERTO QUETZAL</t>
  </si>
  <si>
    <t>克薩爾港</t>
  </si>
  <si>
    <t>香港港</t>
  </si>
  <si>
    <t>勿拉灣港</t>
  </si>
  <si>
    <t>JAKARTA</t>
  </si>
  <si>
    <t>雅加達港</t>
  </si>
  <si>
    <t>三寶瓏港</t>
  </si>
  <si>
    <t>泗水港</t>
  </si>
  <si>
    <t>科欽港</t>
  </si>
  <si>
    <t>卡圖帕利港</t>
  </si>
  <si>
    <t>欽奈港</t>
  </si>
  <si>
    <t>蒙德拉港</t>
  </si>
  <si>
    <t>那瓦謝瓦港</t>
  </si>
  <si>
    <t>圖蒂科林港</t>
  </si>
  <si>
    <t>維沙卡帕特南港</t>
  </si>
  <si>
    <t>千葉港</t>
  </si>
  <si>
    <t>福山港</t>
  </si>
  <si>
    <t>廣島港</t>
  </si>
  <si>
    <t>博多港</t>
  </si>
  <si>
    <t>KAWASAKI</t>
  </si>
  <si>
    <t>川崎港</t>
  </si>
  <si>
    <t>水島港</t>
  </si>
  <si>
    <t>門司港</t>
  </si>
  <si>
    <t>名古屋港</t>
  </si>
  <si>
    <t>大阪港</t>
  </si>
  <si>
    <t>清水港</t>
  </si>
  <si>
    <t>東京港</t>
  </si>
  <si>
    <t>神戶港</t>
  </si>
  <si>
    <t>YOKKAICHI</t>
  </si>
  <si>
    <t>四日市港</t>
  </si>
  <si>
    <t>橫濱港</t>
  </si>
  <si>
    <t>西哈努克港</t>
  </si>
  <si>
    <t>仁川港</t>
  </si>
  <si>
    <t>釜山港</t>
  </si>
  <si>
    <t>蔚山港</t>
  </si>
  <si>
    <t>可倫坡港</t>
  </si>
  <si>
    <t>恩塞納達港</t>
  </si>
  <si>
    <t>拉薩羅·卡德納斯港</t>
  </si>
  <si>
    <t>曼薩尼約港</t>
  </si>
  <si>
    <t>北海港（巴干拉魯）</t>
  </si>
  <si>
    <t>巴西古當港</t>
  </si>
  <si>
    <t>巴生港</t>
  </si>
  <si>
    <t>克里斯托瓦爾港</t>
  </si>
  <si>
    <t>卡亞俄港</t>
  </si>
  <si>
    <t>宿霧港</t>
  </si>
  <si>
    <t>卡加延德奧羅港</t>
  </si>
  <si>
    <t>達沃港</t>
  </si>
  <si>
    <t>馬尼拉港</t>
  </si>
  <si>
    <t>蘇比克灣港</t>
  </si>
  <si>
    <t>穆罕默德·本·卡西姆港</t>
  </si>
  <si>
    <t>吉達港</t>
  </si>
  <si>
    <t>新加坡港</t>
  </si>
  <si>
    <t>曼谷港</t>
  </si>
  <si>
    <t>林查班港</t>
  </si>
  <si>
    <t>基隆港</t>
  </si>
  <si>
    <t>高雄港</t>
  </si>
  <si>
    <t>台北港</t>
  </si>
  <si>
    <t>台中港</t>
  </si>
  <si>
    <t>查爾斯頓港</t>
  </si>
  <si>
    <t>洛杉磯港</t>
  </si>
  <si>
    <t>紐約港</t>
  </si>
  <si>
    <t>奧克蘭港</t>
  </si>
  <si>
    <t>諾福克港</t>
  </si>
  <si>
    <t>薩凡納港</t>
  </si>
  <si>
    <t>蓋蘭港</t>
  </si>
  <si>
    <t>峴港</t>
  </si>
  <si>
    <t>海防港</t>
  </si>
  <si>
    <t>胡志明市港</t>
  </si>
  <si>
    <t>瓦爾帕萊索港</t>
  </si>
  <si>
    <t>釜山新港</t>
  </si>
  <si>
    <t>頭頓港</t>
  </si>
  <si>
    <t>#</t>
  </si>
  <si>
    <t>TNJ</t>
  </si>
  <si>
    <t>CNHSK</t>
  </si>
  <si>
    <t>GTPRQ</t>
  </si>
  <si>
    <t>JPKWS</t>
  </si>
  <si>
    <t>CLVAP</t>
  </si>
  <si>
    <t>JIAXING(ZHAPU)</t>
    <phoneticPr fontId="4" type="noConversion"/>
  </si>
  <si>
    <t>LIANYUNGANG</t>
    <phoneticPr fontId="4" type="noConversion"/>
  </si>
  <si>
    <t>寧波北侖港</t>
    <phoneticPr fontId="4" type="noConversion"/>
  </si>
  <si>
    <t>頭頓</t>
    <phoneticPr fontId="4" type="noConversion"/>
  </si>
  <si>
    <r>
      <rPr>
        <sz val="14"/>
        <color rgb="FF262626"/>
        <rFont val="Microsoft JhengHei"/>
        <family val="2"/>
      </rPr>
      <t>巴</t>
    </r>
    <r>
      <rPr>
        <sz val="14"/>
        <color rgb="FF262626"/>
        <rFont val="微軟正黑體"/>
        <family val="2"/>
        <charset val="136"/>
      </rPr>
      <t>拉</t>
    </r>
    <r>
      <rPr>
        <sz val="14"/>
        <color rgb="FF262626"/>
        <rFont val="Microsoft JhengHei"/>
        <family val="2"/>
      </rPr>
      <t>旺</t>
    </r>
    <r>
      <rPr>
        <sz val="14"/>
        <color rgb="FF262626"/>
        <rFont val="微軟正黑體"/>
        <family val="2"/>
        <charset val="136"/>
      </rPr>
      <t>港</t>
    </r>
    <phoneticPr fontId="4" type="noConversion"/>
  </si>
  <si>
    <t>KATTUPALLI</t>
    <phoneticPr fontId="4" type="noConversion"/>
  </si>
  <si>
    <t>卡圖帕里港</t>
    <phoneticPr fontId="4" type="noConversion"/>
  </si>
  <si>
    <t>JEBEL ALI</t>
    <phoneticPr fontId="4" type="noConversion"/>
  </si>
  <si>
    <t>傑貝阿里港</t>
    <phoneticPr fontId="4" type="noConversion"/>
  </si>
  <si>
    <r>
      <rPr>
        <sz val="14"/>
        <color rgb="FF262626"/>
        <rFont val="微軟正黑體"/>
        <family val="2"/>
        <charset val="136"/>
      </rPr>
      <t>嘉興港</t>
    </r>
    <r>
      <rPr>
        <sz val="14"/>
        <color rgb="FF262626"/>
        <rFont val="Tahoma"/>
        <family val="2"/>
      </rPr>
      <t>(</t>
    </r>
    <r>
      <rPr>
        <sz val="14"/>
        <color rgb="FF262626"/>
        <rFont val="微軟正黑體"/>
        <family val="2"/>
        <charset val="136"/>
      </rPr>
      <t>乍浦港</t>
    </r>
    <r>
      <rPr>
        <sz val="14"/>
        <color rgb="FF262626"/>
        <rFont val="Tahoma"/>
        <family val="2"/>
      </rPr>
      <t>)</t>
    </r>
    <phoneticPr fontId="4" type="noConversion"/>
  </si>
  <si>
    <t>QUANZHOU</t>
    <phoneticPr fontId="4" type="noConversion"/>
  </si>
  <si>
    <t>布埃納文圖拉港</t>
    <phoneticPr fontId="4" type="noConversion"/>
  </si>
  <si>
    <t>GUAYAQUIL</t>
    <phoneticPr fontId="4" type="noConversion"/>
  </si>
  <si>
    <t>瓜亞基爾港</t>
    <phoneticPr fontId="4" type="noConversion"/>
  </si>
  <si>
    <t>SOKHNA</t>
    <phoneticPr fontId="4" type="noConversion"/>
  </si>
  <si>
    <r>
      <rPr>
        <sz val="14"/>
        <color rgb="FF262626"/>
        <rFont val="Microsoft JhengHei"/>
        <family val="2"/>
      </rPr>
      <t>蘇科納</t>
    </r>
    <r>
      <rPr>
        <sz val="14"/>
        <color rgb="FF262626"/>
        <rFont val="微軟正黑體"/>
        <family val="2"/>
        <charset val="136"/>
      </rPr>
      <t>港</t>
    </r>
    <phoneticPr fontId="4" type="noConversion"/>
  </si>
  <si>
    <t>PUERTO QUETZAL</t>
    <phoneticPr fontId="4" type="noConversion"/>
  </si>
  <si>
    <t>夸特渣爾港</t>
    <phoneticPr fontId="4" type="noConversion"/>
  </si>
  <si>
    <t>香港</t>
    <phoneticPr fontId="4" type="noConversion"/>
  </si>
  <si>
    <t>BELAWAN</t>
    <phoneticPr fontId="4" type="noConversion"/>
  </si>
  <si>
    <t>COCHIN</t>
    <phoneticPr fontId="4" type="noConversion"/>
  </si>
  <si>
    <r>
      <rPr>
        <sz val="14"/>
        <color rgb="FF262626"/>
        <rFont val="Microsoft JhengHei"/>
        <family val="2"/>
      </rPr>
      <t>清奈</t>
    </r>
    <r>
      <rPr>
        <sz val="14"/>
        <color rgb="FF262626"/>
        <rFont val="微軟正黑體"/>
        <family val="2"/>
        <charset val="136"/>
      </rPr>
      <t>港</t>
    </r>
    <phoneticPr fontId="4" type="noConversion"/>
  </si>
  <si>
    <t>MUNDRA</t>
    <phoneticPr fontId="4" type="noConversion"/>
  </si>
  <si>
    <t>蒙德拉港</t>
    <phoneticPr fontId="4" type="noConversion"/>
  </si>
  <si>
    <t>NHAVA SHEVA</t>
    <phoneticPr fontId="4" type="noConversion"/>
  </si>
  <si>
    <r>
      <rPr>
        <sz val="14"/>
        <color rgb="FF262626"/>
        <rFont val="微軟正黑體"/>
        <family val="2"/>
        <charset val="136"/>
      </rPr>
      <t>那瓦</t>
    </r>
    <r>
      <rPr>
        <sz val="14"/>
        <color rgb="FF262626"/>
        <rFont val="Microsoft JhengHei"/>
        <family val="2"/>
      </rPr>
      <t>西</t>
    </r>
    <r>
      <rPr>
        <sz val="14"/>
        <color rgb="FF262626"/>
        <rFont val="微軟正黑體"/>
        <family val="2"/>
        <charset val="136"/>
      </rPr>
      <t>瓦港</t>
    </r>
    <phoneticPr fontId="4" type="noConversion"/>
  </si>
  <si>
    <t>TUTICORIN</t>
    <phoneticPr fontId="4" type="noConversion"/>
  </si>
  <si>
    <t>VISAKHAPATNAM</t>
    <phoneticPr fontId="4" type="noConversion"/>
  </si>
  <si>
    <t>ENSENADA</t>
    <phoneticPr fontId="4" type="noConversion"/>
  </si>
  <si>
    <t>恩塞納達港</t>
    <phoneticPr fontId="4" type="noConversion"/>
  </si>
  <si>
    <t>LAZARO CARDENAS</t>
    <phoneticPr fontId="4" type="noConversion"/>
  </si>
  <si>
    <t>拉薩羅卡德納斯港</t>
    <phoneticPr fontId="4" type="noConversion"/>
  </si>
  <si>
    <t>MYBUT</t>
    <phoneticPr fontId="4" type="noConversion"/>
  </si>
  <si>
    <t>BUT</t>
    <phoneticPr fontId="4" type="noConversion"/>
  </si>
  <si>
    <t>PASIR GUDANG</t>
    <phoneticPr fontId="4" type="noConversion"/>
  </si>
  <si>
    <t>克里斯托瓦爾港</t>
    <phoneticPr fontId="4" type="noConversion"/>
  </si>
  <si>
    <t>CRISTOBAL</t>
    <phoneticPr fontId="4" type="noConversion"/>
  </si>
  <si>
    <t>卡西姆港</t>
    <phoneticPr fontId="4" type="noConversion"/>
  </si>
  <si>
    <r>
      <rPr>
        <sz val="14"/>
        <color rgb="FF262626"/>
        <rFont val="Microsoft JhengHei"/>
        <family val="2"/>
      </rPr>
      <t>卡萊</t>
    </r>
    <r>
      <rPr>
        <sz val="14"/>
        <color rgb="FF262626"/>
        <rFont val="微軟正黑體"/>
        <family val="2"/>
        <charset val="136"/>
      </rPr>
      <t>港</t>
    </r>
    <phoneticPr fontId="4" type="noConversion"/>
  </si>
  <si>
    <t>VNTCT</t>
    <phoneticPr fontId="4" type="noConversion"/>
  </si>
  <si>
    <t>盖梅港</t>
    <phoneticPr fontId="4" type="noConversion"/>
  </si>
  <si>
    <t>Cai Mep</t>
    <phoneticPr fontId="4" type="noConversion"/>
  </si>
  <si>
    <t>CAI LAN</t>
    <phoneticPr fontId="4" type="noConversion"/>
  </si>
  <si>
    <r>
      <rPr>
        <sz val="14"/>
        <color rgb="FF262626"/>
        <rFont val="Microsoft JhengHei"/>
        <family val="2"/>
      </rPr>
      <t>胡志明</t>
    </r>
    <r>
      <rPr>
        <sz val="14"/>
        <color rgb="FF262626"/>
        <rFont val="微軟正黑體"/>
        <family val="2"/>
        <charset val="136"/>
      </rPr>
      <t>港</t>
    </r>
    <phoneticPr fontId="4" type="noConversion"/>
  </si>
  <si>
    <t>HO CHI MINH</t>
    <phoneticPr fontId="4" type="noConversion"/>
  </si>
  <si>
    <t>VNHCH</t>
    <phoneticPr fontId="4" type="noConversion"/>
  </si>
  <si>
    <t>AEJEA</t>
    <phoneticPr fontId="4" type="noConversion"/>
  </si>
  <si>
    <t>VUNG TAU P/S</t>
    <phoneticPr fontId="4" type="noConversion"/>
  </si>
  <si>
    <t>CEBU CITY</t>
    <phoneticPr fontId="4" type="noConversion"/>
  </si>
  <si>
    <t>PKBQM</t>
    <phoneticPr fontId="4" type="noConversion"/>
  </si>
  <si>
    <t>BIN QASIM</t>
    <phoneticPr fontId="4" type="noConversion"/>
  </si>
  <si>
    <t>MYPKG</t>
    <phoneticPr fontId="4" type="noConversion"/>
  </si>
  <si>
    <t>PORT KELANG</t>
    <phoneticPr fontId="4" type="noConversion"/>
  </si>
  <si>
    <t>BUTTERWORTH</t>
    <phoneticPr fontId="4" type="noConversion"/>
  </si>
  <si>
    <t>JIAXING</t>
    <phoneticPr fontId="4" type="noConversion"/>
  </si>
  <si>
    <t>NINGBO</t>
    <phoneticPr fontId="4" type="noConversion"/>
  </si>
  <si>
    <t>COBUN</t>
    <phoneticPr fontId="4" type="noConversion"/>
  </si>
  <si>
    <t>BUENAVENTURA</t>
    <phoneticPr fontId="4" type="noConversion"/>
  </si>
  <si>
    <t>INNSA</t>
    <phoneticPr fontId="4" type="noConversion"/>
  </si>
  <si>
    <t>PUSAN NEWPORT</t>
    <phoneticPr fontId="4" type="noConversion"/>
  </si>
  <si>
    <t>Station ID (WNI)</t>
    <phoneticPr fontId="5" type="noConversion"/>
  </si>
  <si>
    <t>Station ID (AWT)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</si>
</sst>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4"/>
      <color rgb="FF262626"/>
      <name val="Tahoma"/>
      <family val="2"/>
    </font>
    <font>
      <sz val="14"/>
      <color rgb="FF262626"/>
      <name val="Tahoma"/>
      <family val="2"/>
    </font>
    <font>
      <sz val="9"/>
      <name val="新細明體"/>
      <family val="3"/>
      <charset val="136"/>
      <scheme val="minor"/>
    </font>
    <font>
      <sz val="9"/>
      <name val="微軟正黑體"/>
      <family val="2"/>
      <charset val="136"/>
    </font>
    <font>
      <sz val="14"/>
      <color rgb="FF262626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262626"/>
      <name val="Tahoma"/>
      <family val="2"/>
    </font>
    <font>
      <sz val="14"/>
      <color rgb="FF262626"/>
      <name val="Microsoft JhengHei"/>
      <family val="2"/>
    </font>
    <font>
      <sz val="14"/>
      <color rgb="FF262626"/>
      <name val="Tahoma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9D9DD"/>
      </left>
      <right style="medium">
        <color rgb="FFD9D9DD"/>
      </right>
      <top style="medium">
        <color rgb="FFD9D9DD"/>
      </top>
      <bottom style="medium">
        <color rgb="FFD9D9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G8" sqref="G8"/>
    </sheetView>
  </sheetViews>
  <sheetFormatPr defaultRowHeight="15.75"/>
  <cols>
    <col min="1" max="1" width="57.85546875" customWidth="1"/>
    <col min="2" max="2" width="32.5703125" bestFit="1" customWidth="1"/>
    <col min="3" max="3" width="27" bestFit="1" customWidth="1"/>
    <col min="4" max="4" width="31.140625" customWidth="1"/>
    <col min="5" max="5" width="47" customWidth="1"/>
    <col min="6" max="6" width="33.28515625" bestFit="1" customWidth="1"/>
    <col min="7" max="7" width="33.28515625" customWidth="1"/>
    <col min="8" max="8" width="19" customWidth="1"/>
    <col min="9" max="9" width="16.140625" bestFit="1" customWidth="1"/>
  </cols>
  <sheetData>
    <row r="1" spans="1:9" ht="19.5" thickBot="1">
      <c r="A1" s="3" t="s">
        <v>269</v>
      </c>
      <c r="B1" s="3" t="s">
        <v>270</v>
      </c>
      <c r="C1" s="1" t="s">
        <v>258</v>
      </c>
      <c r="D1" s="1" t="s">
        <v>263</v>
      </c>
      <c r="E1" s="3" t="s">
        <v>259</v>
      </c>
      <c r="F1" s="3" t="s">
        <v>436</v>
      </c>
      <c r="G1" s="3" t="s">
        <v>437</v>
      </c>
      <c r="H1" s="3" t="s">
        <v>261</v>
      </c>
      <c r="I1" s="3" t="s">
        <v>262</v>
      </c>
    </row>
    <row r="2" spans="1:9" ht="19.5" thickBot="1">
      <c r="A2" s="2" t="s">
        <v>383</v>
      </c>
      <c r="B2" s="4" t="s">
        <v>384</v>
      </c>
      <c r="C2" s="2" t="s">
        <v>1</v>
      </c>
      <c r="D2" s="2" t="s">
        <v>422</v>
      </c>
      <c r="E2" s="2" t="s">
        <v>2</v>
      </c>
      <c r="F2" s="2">
        <v>100758</v>
      </c>
      <c r="G2" s="2">
        <v>6375</v>
      </c>
      <c r="H2" s="2">
        <v>25.044699999999999</v>
      </c>
      <c r="I2" s="2">
        <v>54.988900000000001</v>
      </c>
    </row>
    <row r="3" spans="1:9" ht="18.75" thickBot="1">
      <c r="A3" s="2" t="s">
        <v>4</v>
      </c>
      <c r="B3" s="2" t="s">
        <v>276</v>
      </c>
      <c r="C3" s="2" t="s">
        <v>5</v>
      </c>
      <c r="D3" s="2" t="s">
        <v>3</v>
      </c>
      <c r="E3" s="2" t="s">
        <v>6</v>
      </c>
      <c r="F3" s="2">
        <v>100426</v>
      </c>
      <c r="G3" s="2">
        <v>7323</v>
      </c>
      <c r="H3" s="2">
        <v>38.944899999999997</v>
      </c>
      <c r="I3" s="2">
        <v>121.67570000000001</v>
      </c>
    </row>
    <row r="4" spans="1:9" ht="18.75" thickBot="1">
      <c r="A4" s="2" t="s">
        <v>8</v>
      </c>
      <c r="B4" s="2" t="s">
        <v>277</v>
      </c>
      <c r="C4" s="2" t="s">
        <v>9</v>
      </c>
      <c r="D4" s="2" t="s">
        <v>7</v>
      </c>
      <c r="E4" s="2" t="s">
        <v>6</v>
      </c>
      <c r="F4" s="2">
        <v>100539</v>
      </c>
      <c r="G4" s="2">
        <v>8180</v>
      </c>
      <c r="H4" s="2">
        <v>26.0473</v>
      </c>
      <c r="I4" s="2">
        <v>119.30159999999999</v>
      </c>
    </row>
    <row r="5" spans="1:9" ht="18.75" thickBot="1">
      <c r="A5" s="2" t="s">
        <v>278</v>
      </c>
      <c r="B5" s="2" t="s">
        <v>279</v>
      </c>
      <c r="C5" s="2" t="s">
        <v>371</v>
      </c>
      <c r="D5" s="2" t="s">
        <v>372</v>
      </c>
      <c r="E5" s="2" t="s">
        <v>6</v>
      </c>
      <c r="F5" s="2">
        <v>101822</v>
      </c>
      <c r="G5" s="2">
        <v>4443</v>
      </c>
      <c r="H5" s="2">
        <v>38.575000000000003</v>
      </c>
      <c r="I5" s="2">
        <v>117.492</v>
      </c>
    </row>
    <row r="6" spans="1:9" ht="19.5" thickBot="1">
      <c r="A6" s="2" t="s">
        <v>430</v>
      </c>
      <c r="B6" s="8" t="s">
        <v>385</v>
      </c>
      <c r="C6" s="2" t="s">
        <v>13</v>
      </c>
      <c r="D6" s="2" t="s">
        <v>12</v>
      </c>
      <c r="E6" s="2" t="s">
        <v>6</v>
      </c>
      <c r="F6" s="2">
        <v>100319</v>
      </c>
      <c r="G6" s="2">
        <v>10789</v>
      </c>
      <c r="H6" s="2">
        <v>30.5778</v>
      </c>
      <c r="I6" s="2">
        <v>121.1087</v>
      </c>
    </row>
    <row r="7" spans="1:9" ht="18.75" thickBot="1">
      <c r="A7" s="2" t="s">
        <v>15</v>
      </c>
      <c r="B7" s="2" t="s">
        <v>281</v>
      </c>
      <c r="C7" s="2" t="s">
        <v>16</v>
      </c>
      <c r="D7" s="2" t="s">
        <v>14</v>
      </c>
      <c r="E7" s="2" t="s">
        <v>6</v>
      </c>
      <c r="F7" s="2">
        <v>100952</v>
      </c>
      <c r="G7" s="2">
        <v>7981</v>
      </c>
      <c r="H7" s="2">
        <v>34.743200000000002</v>
      </c>
      <c r="I7" s="2">
        <v>119.5295</v>
      </c>
    </row>
    <row r="8" spans="1:9" ht="19.5" thickBot="1">
      <c r="A8" s="2" t="s">
        <v>431</v>
      </c>
      <c r="B8" s="4" t="s">
        <v>378</v>
      </c>
      <c r="C8" s="2" t="s">
        <v>19</v>
      </c>
      <c r="D8" s="2" t="s">
        <v>17</v>
      </c>
      <c r="E8" s="2" t="s">
        <v>6</v>
      </c>
      <c r="F8" s="2">
        <v>100150</v>
      </c>
      <c r="G8" s="2">
        <v>6800</v>
      </c>
      <c r="H8" s="2">
        <v>29.948499999999999</v>
      </c>
      <c r="I8" s="2">
        <v>121.8638</v>
      </c>
    </row>
    <row r="9" spans="1:9" ht="18.75" thickBot="1">
      <c r="A9" s="2" t="s">
        <v>21</v>
      </c>
      <c r="B9" s="2" t="s">
        <v>284</v>
      </c>
      <c r="C9" s="2" t="s">
        <v>22</v>
      </c>
      <c r="D9" s="2" t="s">
        <v>20</v>
      </c>
      <c r="E9" s="2" t="s">
        <v>6</v>
      </c>
      <c r="F9" s="2">
        <v>101223</v>
      </c>
      <c r="G9" s="2">
        <v>8588</v>
      </c>
      <c r="H9" s="2">
        <v>22.6325</v>
      </c>
      <c r="I9" s="2">
        <v>113.6947</v>
      </c>
    </row>
    <row r="10" spans="1:9" ht="18.75" thickBot="1">
      <c r="A10" s="2" t="s">
        <v>386</v>
      </c>
      <c r="B10" s="2" t="s">
        <v>285</v>
      </c>
      <c r="C10" s="2" t="s">
        <v>25</v>
      </c>
      <c r="D10" s="2" t="s">
        <v>23</v>
      </c>
      <c r="E10" s="2" t="s">
        <v>6</v>
      </c>
      <c r="F10" s="2">
        <v>101475</v>
      </c>
      <c r="G10" s="2">
        <v>8113</v>
      </c>
      <c r="H10" s="2">
        <v>24.8858</v>
      </c>
      <c r="I10" s="2">
        <v>118.584</v>
      </c>
    </row>
    <row r="11" spans="1:9" ht="18.75" thickBot="1">
      <c r="A11" s="2" t="s">
        <v>286</v>
      </c>
      <c r="B11" s="2" t="s">
        <v>287</v>
      </c>
      <c r="C11" s="2" t="s">
        <v>27</v>
      </c>
      <c r="D11" s="2" t="s">
        <v>26</v>
      </c>
      <c r="E11" s="2" t="s">
        <v>6</v>
      </c>
      <c r="F11" s="2">
        <v>101541</v>
      </c>
      <c r="G11" s="2">
        <v>4555</v>
      </c>
      <c r="H11" s="2">
        <v>35.362400000000001</v>
      </c>
      <c r="I11" s="2">
        <v>119.5793</v>
      </c>
    </row>
    <row r="12" spans="1:9" ht="18.75" thickBot="1">
      <c r="A12" s="2" t="s">
        <v>29</v>
      </c>
      <c r="B12" s="2" t="s">
        <v>288</v>
      </c>
      <c r="C12" s="2" t="s">
        <v>30</v>
      </c>
      <c r="D12" s="2" t="s">
        <v>28</v>
      </c>
      <c r="E12" s="2" t="s">
        <v>6</v>
      </c>
      <c r="F12" s="2">
        <v>101609</v>
      </c>
      <c r="G12" s="2">
        <v>6291</v>
      </c>
      <c r="H12" s="2">
        <v>31.373899999999999</v>
      </c>
      <c r="I12" s="2">
        <v>121.602</v>
      </c>
    </row>
    <row r="13" spans="1:9" ht="18.75" thickBot="1">
      <c r="A13" s="2" t="s">
        <v>264</v>
      </c>
      <c r="B13" s="2" t="s">
        <v>289</v>
      </c>
      <c r="C13" s="2" t="s">
        <v>266</v>
      </c>
      <c r="D13" s="2" t="s">
        <v>265</v>
      </c>
      <c r="E13" s="2" t="s">
        <v>6</v>
      </c>
      <c r="F13" s="2">
        <v>102013</v>
      </c>
      <c r="G13" s="2">
        <v>7436</v>
      </c>
      <c r="H13" s="2">
        <v>29.991700000000002</v>
      </c>
      <c r="I13" s="2">
        <v>122.1033</v>
      </c>
    </row>
    <row r="14" spans="1:9" ht="18.75" thickBot="1">
      <c r="A14" s="2" t="s">
        <v>267</v>
      </c>
      <c r="B14" s="2" t="s">
        <v>290</v>
      </c>
      <c r="C14" s="2" t="s">
        <v>268</v>
      </c>
      <c r="D14" s="2"/>
      <c r="E14" s="2" t="s">
        <v>6</v>
      </c>
      <c r="F14" s="2">
        <v>100314</v>
      </c>
      <c r="G14" s="2">
        <v>7349</v>
      </c>
      <c r="H14" s="2">
        <v>31.0733</v>
      </c>
      <c r="I14" s="2">
        <v>122.4217</v>
      </c>
    </row>
    <row r="15" spans="1:9" ht="18.75" thickBot="1">
      <c r="A15" s="2" t="s">
        <v>10</v>
      </c>
      <c r="B15" s="2" t="s">
        <v>291</v>
      </c>
      <c r="C15" s="2" t="s">
        <v>11</v>
      </c>
      <c r="D15" s="2" t="s">
        <v>31</v>
      </c>
      <c r="E15" s="2" t="s">
        <v>6</v>
      </c>
      <c r="F15" s="2">
        <v>101616</v>
      </c>
      <c r="G15" s="2">
        <v>7921</v>
      </c>
      <c r="H15" s="2">
        <v>22.472000000000001</v>
      </c>
      <c r="I15" s="2">
        <v>113.91800000000001</v>
      </c>
    </row>
    <row r="16" spans="1:9" ht="18.75" thickBot="1">
      <c r="A16" s="2" t="s">
        <v>33</v>
      </c>
      <c r="B16" s="2" t="s">
        <v>292</v>
      </c>
      <c r="C16" s="2" t="s">
        <v>34</v>
      </c>
      <c r="D16" s="2" t="s">
        <v>32</v>
      </c>
      <c r="E16" s="2" t="s">
        <v>6</v>
      </c>
      <c r="F16" s="2">
        <v>101473</v>
      </c>
      <c r="G16" s="2">
        <v>6318</v>
      </c>
      <c r="H16" s="2">
        <v>36.0822</v>
      </c>
      <c r="I16" s="2">
        <v>120.29049999999999</v>
      </c>
    </row>
    <row r="17" spans="1:9" ht="18.75" thickBot="1">
      <c r="A17" s="2" t="s">
        <v>36</v>
      </c>
      <c r="B17" s="2" t="s">
        <v>293</v>
      </c>
      <c r="C17" s="2" t="s">
        <v>37</v>
      </c>
      <c r="D17" s="2" t="s">
        <v>35</v>
      </c>
      <c r="E17" s="2" t="s">
        <v>6</v>
      </c>
      <c r="F17" s="2">
        <v>101962</v>
      </c>
      <c r="G17" s="2">
        <v>7885</v>
      </c>
      <c r="H17" s="2">
        <v>24.496600000000001</v>
      </c>
      <c r="I17" s="2">
        <v>118.06610000000001</v>
      </c>
    </row>
    <row r="18" spans="1:9" ht="18.75" thickBot="1">
      <c r="A18" s="2" t="s">
        <v>39</v>
      </c>
      <c r="B18" s="2" t="s">
        <v>294</v>
      </c>
      <c r="C18" s="2" t="s">
        <v>40</v>
      </c>
      <c r="D18" s="2" t="s">
        <v>38</v>
      </c>
      <c r="E18" s="2" t="s">
        <v>6</v>
      </c>
      <c r="F18" s="2">
        <v>101987</v>
      </c>
      <c r="G18" s="2">
        <v>7884</v>
      </c>
      <c r="H18" s="2">
        <v>22.56</v>
      </c>
      <c r="I18" s="2">
        <v>114.3</v>
      </c>
    </row>
    <row r="19" spans="1:9" ht="18.75" thickBot="1">
      <c r="A19" s="2" t="s">
        <v>42</v>
      </c>
      <c r="B19" s="2" t="s">
        <v>295</v>
      </c>
      <c r="C19" s="2" t="s">
        <v>43</v>
      </c>
      <c r="D19" s="2" t="s">
        <v>41</v>
      </c>
      <c r="E19" s="2" t="s">
        <v>6</v>
      </c>
      <c r="F19" s="2">
        <v>102016</v>
      </c>
      <c r="G19" s="2">
        <v>7795</v>
      </c>
      <c r="H19" s="2">
        <v>21.1707</v>
      </c>
      <c r="I19" s="2">
        <v>110.4181</v>
      </c>
    </row>
    <row r="20" spans="1:9" ht="19.5" thickBot="1">
      <c r="A20" s="2" t="s">
        <v>433</v>
      </c>
      <c r="B20" s="4" t="s">
        <v>387</v>
      </c>
      <c r="C20" s="2" t="s">
        <v>45</v>
      </c>
      <c r="D20" s="2" t="s">
        <v>432</v>
      </c>
      <c r="E20" s="2" t="s">
        <v>46</v>
      </c>
      <c r="F20" s="2">
        <v>100255</v>
      </c>
      <c r="G20" s="2">
        <v>4528</v>
      </c>
      <c r="H20" s="2">
        <v>3.8858999999999999</v>
      </c>
      <c r="I20" s="2">
        <v>-77.086100000000002</v>
      </c>
    </row>
    <row r="21" spans="1:9" ht="19.5" thickBot="1">
      <c r="A21" s="2" t="s">
        <v>388</v>
      </c>
      <c r="B21" s="4" t="s">
        <v>389</v>
      </c>
      <c r="C21" s="2" t="s">
        <v>49</v>
      </c>
      <c r="D21" s="2" t="s">
        <v>47</v>
      </c>
      <c r="E21" s="2" t="s">
        <v>50</v>
      </c>
      <c r="F21" s="2">
        <v>100616</v>
      </c>
      <c r="G21" s="2">
        <v>4320</v>
      </c>
      <c r="H21" s="2">
        <v>-2.2865000000000002</v>
      </c>
      <c r="I21" s="2">
        <v>-79.901899999999998</v>
      </c>
    </row>
    <row r="22" spans="1:9" ht="19.5" thickBot="1">
      <c r="A22" s="2" t="s">
        <v>390</v>
      </c>
      <c r="B22" s="2" t="s">
        <v>391</v>
      </c>
      <c r="C22" s="2" t="s">
        <v>53</v>
      </c>
      <c r="D22" s="2" t="s">
        <v>51</v>
      </c>
      <c r="E22" s="2" t="s">
        <v>54</v>
      </c>
      <c r="F22" s="2">
        <v>101643</v>
      </c>
      <c r="G22" s="2">
        <v>8813</v>
      </c>
      <c r="H22" s="2">
        <v>29.645499999999998</v>
      </c>
      <c r="I22" s="2">
        <v>32.375500000000002</v>
      </c>
    </row>
    <row r="23" spans="1:9" ht="19.5" thickBot="1">
      <c r="A23" s="2" t="s">
        <v>392</v>
      </c>
      <c r="B23" s="9" t="s">
        <v>393</v>
      </c>
      <c r="C23" s="2" t="s">
        <v>55</v>
      </c>
      <c r="D23" s="2" t="s">
        <v>373</v>
      </c>
      <c r="E23" s="2" t="s">
        <v>56</v>
      </c>
      <c r="F23" s="2">
        <v>101412</v>
      </c>
      <c r="G23" s="2">
        <v>7250</v>
      </c>
      <c r="H23" s="2">
        <v>13.9086</v>
      </c>
      <c r="I23" s="2">
        <v>-90.778400000000005</v>
      </c>
    </row>
    <row r="24" spans="1:9" ht="19.5" thickBot="1">
      <c r="A24" s="2" t="s">
        <v>58</v>
      </c>
      <c r="B24" s="4" t="s">
        <v>394</v>
      </c>
      <c r="C24" s="2" t="s">
        <v>59</v>
      </c>
      <c r="D24" s="2" t="s">
        <v>57</v>
      </c>
      <c r="E24" s="2" t="s">
        <v>6</v>
      </c>
      <c r="F24" s="2">
        <v>100656</v>
      </c>
      <c r="G24" s="2">
        <v>7300</v>
      </c>
      <c r="H24" s="2">
        <v>22.291599999999999</v>
      </c>
      <c r="I24" s="2">
        <v>114.1596</v>
      </c>
    </row>
    <row r="25" spans="1:9" ht="19.5" thickBot="1">
      <c r="A25" s="2" t="s">
        <v>395</v>
      </c>
      <c r="B25" s="2" t="s">
        <v>380</v>
      </c>
      <c r="C25" s="2" t="s">
        <v>62</v>
      </c>
      <c r="D25" s="2" t="s">
        <v>60</v>
      </c>
      <c r="E25" s="2" t="s">
        <v>63</v>
      </c>
      <c r="F25" s="2">
        <v>100176</v>
      </c>
      <c r="G25" s="2">
        <v>5200</v>
      </c>
      <c r="H25" s="2">
        <v>3.8031000000000001</v>
      </c>
      <c r="I25" s="2">
        <v>98.721699999999998</v>
      </c>
    </row>
    <row r="26" spans="1:9" ht="18.75" thickBot="1">
      <c r="A26" s="2" t="s">
        <v>303</v>
      </c>
      <c r="B26" s="2" t="s">
        <v>304</v>
      </c>
      <c r="C26" s="2" t="s">
        <v>65</v>
      </c>
      <c r="D26" s="2" t="s">
        <v>64</v>
      </c>
      <c r="E26" s="2" t="s">
        <v>63</v>
      </c>
      <c r="F26" s="2">
        <v>101804</v>
      </c>
      <c r="G26" s="2">
        <v>6315</v>
      </c>
      <c r="H26" s="2">
        <v>-6.0715000000000003</v>
      </c>
      <c r="I26" s="2">
        <v>106.88249999999999</v>
      </c>
    </row>
    <row r="27" spans="1:9" ht="18.75" thickBot="1">
      <c r="A27" s="2" t="s">
        <v>67</v>
      </c>
      <c r="B27" s="2" t="s">
        <v>305</v>
      </c>
      <c r="C27" s="2" t="s">
        <v>68</v>
      </c>
      <c r="D27" s="2" t="s">
        <v>66</v>
      </c>
      <c r="E27" s="2" t="s">
        <v>63</v>
      </c>
      <c r="F27" s="2">
        <v>101590</v>
      </c>
      <c r="G27" s="2">
        <v>4576</v>
      </c>
      <c r="H27" s="2">
        <v>-6.9330999999999996</v>
      </c>
      <c r="I27" s="2">
        <v>110.42059999999999</v>
      </c>
    </row>
    <row r="28" spans="1:9" ht="18.75" thickBot="1">
      <c r="A28" s="2" t="s">
        <v>70</v>
      </c>
      <c r="B28" s="2" t="s">
        <v>306</v>
      </c>
      <c r="C28" s="2" t="s">
        <v>71</v>
      </c>
      <c r="D28" s="2" t="s">
        <v>69</v>
      </c>
      <c r="E28" s="2" t="s">
        <v>63</v>
      </c>
      <c r="F28" s="2">
        <v>101705</v>
      </c>
      <c r="G28" s="2">
        <v>4422</v>
      </c>
      <c r="H28" s="2">
        <v>-7.1905999999999999</v>
      </c>
      <c r="I28" s="2">
        <v>112.7213</v>
      </c>
    </row>
    <row r="29" spans="1:9" ht="18.75" thickBot="1">
      <c r="A29" s="2" t="s">
        <v>396</v>
      </c>
      <c r="B29" s="2" t="s">
        <v>307</v>
      </c>
      <c r="C29" s="2" t="s">
        <v>74</v>
      </c>
      <c r="D29" s="2" t="s">
        <v>72</v>
      </c>
      <c r="E29" s="2" t="s">
        <v>75</v>
      </c>
      <c r="F29" s="2">
        <v>100345</v>
      </c>
      <c r="G29" s="2">
        <v>5615</v>
      </c>
      <c r="H29" s="2">
        <v>9.9627999999999997</v>
      </c>
      <c r="I29" s="2">
        <v>76.226100000000002</v>
      </c>
    </row>
    <row r="30" spans="1:9" ht="19.5" thickBot="1">
      <c r="A30" s="2" t="s">
        <v>381</v>
      </c>
      <c r="B30" s="4" t="s">
        <v>382</v>
      </c>
      <c r="C30" s="2" t="s">
        <v>78</v>
      </c>
      <c r="D30" s="2" t="s">
        <v>76</v>
      </c>
      <c r="E30" s="2" t="s">
        <v>75</v>
      </c>
      <c r="F30" s="2">
        <v>100884</v>
      </c>
      <c r="G30" s="2">
        <v>10645</v>
      </c>
      <c r="H30" s="2">
        <v>13.2828</v>
      </c>
      <c r="I30" s="2">
        <v>80.363600000000005</v>
      </c>
    </row>
    <row r="31" spans="1:9" ht="19.5" thickBot="1">
      <c r="A31" s="2" t="s">
        <v>80</v>
      </c>
      <c r="B31" s="2" t="s">
        <v>397</v>
      </c>
      <c r="C31" s="2" t="s">
        <v>81</v>
      </c>
      <c r="D31" s="2" t="s">
        <v>79</v>
      </c>
      <c r="E31" s="2" t="s">
        <v>75</v>
      </c>
      <c r="F31" s="2">
        <v>100339</v>
      </c>
      <c r="G31" s="2">
        <v>7259</v>
      </c>
      <c r="H31" s="2">
        <v>13.103</v>
      </c>
      <c r="I31" s="2">
        <v>80.316199999999995</v>
      </c>
    </row>
    <row r="32" spans="1:9" ht="19.5" thickBot="1">
      <c r="A32" s="2" t="s">
        <v>398</v>
      </c>
      <c r="B32" s="4" t="s">
        <v>399</v>
      </c>
      <c r="C32" s="2" t="s">
        <v>84</v>
      </c>
      <c r="D32" s="2" t="s">
        <v>82</v>
      </c>
      <c r="E32" s="2" t="s">
        <v>75</v>
      </c>
      <c r="F32" s="2">
        <v>101139</v>
      </c>
      <c r="G32" s="2">
        <v>7877</v>
      </c>
      <c r="H32" s="2">
        <v>22.736000000000001</v>
      </c>
      <c r="I32" s="2">
        <v>69.721299999999999</v>
      </c>
    </row>
    <row r="33" spans="1:9" ht="19.5" thickBot="1">
      <c r="A33" s="2" t="s">
        <v>400</v>
      </c>
      <c r="B33" s="8" t="s">
        <v>401</v>
      </c>
      <c r="C33" s="2" t="s">
        <v>86</v>
      </c>
      <c r="D33" s="2" t="s">
        <v>434</v>
      </c>
      <c r="E33" s="2" t="s">
        <v>75</v>
      </c>
      <c r="F33" s="2">
        <v>101187</v>
      </c>
      <c r="G33" s="2">
        <v>8023</v>
      </c>
      <c r="H33" s="2">
        <v>18.956600000000002</v>
      </c>
      <c r="I33" s="2">
        <v>72.941400000000002</v>
      </c>
    </row>
    <row r="34" spans="1:9" ht="18.75" thickBot="1">
      <c r="A34" s="2" t="s">
        <v>402</v>
      </c>
      <c r="B34" s="2" t="s">
        <v>312</v>
      </c>
      <c r="C34" s="2" t="s">
        <v>89</v>
      </c>
      <c r="D34" s="2" t="s">
        <v>87</v>
      </c>
      <c r="E34" s="2" t="s">
        <v>75</v>
      </c>
      <c r="F34" s="2">
        <v>101869</v>
      </c>
      <c r="G34" s="2">
        <v>6967</v>
      </c>
      <c r="H34" s="2">
        <v>8.7430000000000003</v>
      </c>
      <c r="I34" s="2">
        <v>78.234800000000007</v>
      </c>
    </row>
    <row r="35" spans="1:9" ht="18.75" thickBot="1">
      <c r="A35" s="2" t="s">
        <v>403</v>
      </c>
      <c r="B35" s="2" t="s">
        <v>313</v>
      </c>
      <c r="C35" s="2" t="s">
        <v>92</v>
      </c>
      <c r="D35" s="2" t="s">
        <v>90</v>
      </c>
      <c r="E35" s="2" t="s">
        <v>75</v>
      </c>
      <c r="F35" s="2">
        <v>101911</v>
      </c>
      <c r="G35" s="2">
        <v>6331</v>
      </c>
      <c r="H35" s="2">
        <v>17.686499999999999</v>
      </c>
      <c r="I35" s="2">
        <v>83.315700000000007</v>
      </c>
    </row>
    <row r="36" spans="1:9" ht="18.75" thickBot="1">
      <c r="A36" s="2" t="s">
        <v>94</v>
      </c>
      <c r="B36" s="2" t="s">
        <v>314</v>
      </c>
      <c r="C36" s="2" t="s">
        <v>95</v>
      </c>
      <c r="D36" s="2" t="s">
        <v>93</v>
      </c>
      <c r="E36" s="2" t="s">
        <v>96</v>
      </c>
      <c r="F36" s="2">
        <v>100309</v>
      </c>
      <c r="G36" s="2">
        <v>7274</v>
      </c>
      <c r="H36" s="2">
        <v>35.593800000000002</v>
      </c>
      <c r="I36" s="2">
        <v>140.06899999999999</v>
      </c>
    </row>
    <row r="37" spans="1:9" ht="18.75" thickBot="1">
      <c r="A37" s="2" t="s">
        <v>98</v>
      </c>
      <c r="B37" s="2" t="s">
        <v>315</v>
      </c>
      <c r="C37" s="2" t="s">
        <v>99</v>
      </c>
      <c r="D37" s="2" t="s">
        <v>97</v>
      </c>
      <c r="E37" s="2" t="s">
        <v>96</v>
      </c>
      <c r="F37" s="2">
        <v>100512</v>
      </c>
      <c r="G37" s="2">
        <v>7391</v>
      </c>
      <c r="H37" s="2">
        <v>34.4176</v>
      </c>
      <c r="I37" s="2">
        <v>133.43940000000001</v>
      </c>
    </row>
    <row r="38" spans="1:9" ht="18.75" thickBot="1">
      <c r="A38" s="2" t="s">
        <v>101</v>
      </c>
      <c r="B38" s="2" t="s">
        <v>316</v>
      </c>
      <c r="C38" s="2" t="s">
        <v>102</v>
      </c>
      <c r="D38" s="2" t="s">
        <v>100</v>
      </c>
      <c r="E38" s="2" t="s">
        <v>96</v>
      </c>
      <c r="F38" s="2">
        <v>100651</v>
      </c>
      <c r="G38" s="2">
        <v>5980</v>
      </c>
      <c r="H38" s="2">
        <v>34.333500000000001</v>
      </c>
      <c r="I38" s="2">
        <v>132.44229999999999</v>
      </c>
    </row>
    <row r="39" spans="1:9" ht="18.75" thickBot="1">
      <c r="A39" s="2" t="s">
        <v>104</v>
      </c>
      <c r="B39" s="2" t="s">
        <v>317</v>
      </c>
      <c r="C39" s="2" t="s">
        <v>105</v>
      </c>
      <c r="D39" s="2" t="s">
        <v>103</v>
      </c>
      <c r="E39" s="2" t="s">
        <v>96</v>
      </c>
      <c r="F39" s="2">
        <v>100621</v>
      </c>
      <c r="G39" s="2">
        <v>5936</v>
      </c>
      <c r="H39" s="2">
        <v>33.619</v>
      </c>
      <c r="I39" s="2">
        <v>130.3817</v>
      </c>
    </row>
    <row r="40" spans="1:9" ht="18.75" thickBot="1">
      <c r="A40" s="2" t="s">
        <v>318</v>
      </c>
      <c r="B40" s="2" t="s">
        <v>319</v>
      </c>
      <c r="C40" s="2" t="s">
        <v>106</v>
      </c>
      <c r="D40" s="2" t="s">
        <v>374</v>
      </c>
      <c r="E40" s="2" t="s">
        <v>96</v>
      </c>
      <c r="F40" s="2">
        <v>100796</v>
      </c>
      <c r="G40" s="2">
        <v>6319</v>
      </c>
      <c r="H40" s="2">
        <v>35.490099999999998</v>
      </c>
      <c r="I40" s="2">
        <v>139.79470000000001</v>
      </c>
    </row>
    <row r="41" spans="1:9" ht="18.75" thickBot="1">
      <c r="A41" s="2" t="s">
        <v>108</v>
      </c>
      <c r="B41" s="2" t="s">
        <v>320</v>
      </c>
      <c r="C41" s="2" t="s">
        <v>109</v>
      </c>
      <c r="D41" s="2" t="s">
        <v>107</v>
      </c>
      <c r="E41" s="2" t="s">
        <v>96</v>
      </c>
      <c r="F41" s="2">
        <v>101061</v>
      </c>
      <c r="G41" s="2">
        <v>4349</v>
      </c>
      <c r="H41" s="2">
        <v>34.464399999999998</v>
      </c>
      <c r="I41" s="2">
        <v>133.73400000000001</v>
      </c>
    </row>
    <row r="42" spans="1:9" ht="18.75" thickBot="1">
      <c r="A42" s="2" t="s">
        <v>111</v>
      </c>
      <c r="B42" s="2" t="s">
        <v>321</v>
      </c>
      <c r="C42" s="2" t="s">
        <v>112</v>
      </c>
      <c r="D42" s="2" t="s">
        <v>110</v>
      </c>
      <c r="E42" s="2" t="s">
        <v>96</v>
      </c>
      <c r="F42" s="2">
        <v>101086</v>
      </c>
      <c r="G42" s="2">
        <v>4985</v>
      </c>
      <c r="H42" s="2">
        <v>33.945</v>
      </c>
      <c r="I42" s="2">
        <v>130.94829999999999</v>
      </c>
    </row>
    <row r="43" spans="1:9" ht="18.75" thickBot="1">
      <c r="A43" s="2" t="s">
        <v>114</v>
      </c>
      <c r="B43" s="2" t="s">
        <v>322</v>
      </c>
      <c r="C43" s="2" t="s">
        <v>115</v>
      </c>
      <c r="D43" s="2" t="s">
        <v>113</v>
      </c>
      <c r="E43" s="2" t="s">
        <v>96</v>
      </c>
      <c r="F43" s="2">
        <v>101158</v>
      </c>
      <c r="G43" s="2">
        <v>6078</v>
      </c>
      <c r="H43" s="2">
        <v>35.023299999999999</v>
      </c>
      <c r="I43" s="2">
        <v>136.845</v>
      </c>
    </row>
    <row r="44" spans="1:9" ht="18.75" thickBot="1">
      <c r="A44" s="2" t="s">
        <v>117</v>
      </c>
      <c r="B44" s="2" t="s">
        <v>323</v>
      </c>
      <c r="C44" s="2" t="s">
        <v>118</v>
      </c>
      <c r="D44" s="2" t="s">
        <v>116</v>
      </c>
      <c r="E44" s="2" t="s">
        <v>96</v>
      </c>
      <c r="F44" s="2">
        <v>101266</v>
      </c>
      <c r="G44" s="2">
        <v>6333</v>
      </c>
      <c r="H44" s="2">
        <v>34.622900000000001</v>
      </c>
      <c r="I44" s="2">
        <v>135.3749</v>
      </c>
    </row>
    <row r="45" spans="1:9" ht="18.75" thickBot="1">
      <c r="A45" s="2" t="s">
        <v>120</v>
      </c>
      <c r="B45" s="2" t="s">
        <v>324</v>
      </c>
      <c r="C45" s="2" t="s">
        <v>121</v>
      </c>
      <c r="D45" s="2" t="s">
        <v>119</v>
      </c>
      <c r="E45" s="2" t="s">
        <v>96</v>
      </c>
      <c r="F45" s="2">
        <v>101618</v>
      </c>
      <c r="G45" s="2">
        <v>6484</v>
      </c>
      <c r="H45" s="2">
        <v>35.03</v>
      </c>
      <c r="I45" s="2">
        <v>138.54</v>
      </c>
    </row>
    <row r="46" spans="1:9" ht="18.75" thickBot="1">
      <c r="A46" s="2" t="s">
        <v>122</v>
      </c>
      <c r="B46" s="2" t="s">
        <v>325</v>
      </c>
      <c r="C46" s="2" t="s">
        <v>123</v>
      </c>
      <c r="D46" s="2" t="s">
        <v>124</v>
      </c>
      <c r="E46" s="2" t="s">
        <v>96</v>
      </c>
      <c r="F46" s="2">
        <v>101833</v>
      </c>
      <c r="G46" s="2">
        <v>6908</v>
      </c>
      <c r="H46" s="2">
        <v>35.578400000000002</v>
      </c>
      <c r="I46" s="2">
        <v>139.82550000000001</v>
      </c>
    </row>
    <row r="47" spans="1:9" ht="18.75" thickBot="1">
      <c r="A47" s="2" t="s">
        <v>126</v>
      </c>
      <c r="B47" s="2" t="s">
        <v>326</v>
      </c>
      <c r="C47" s="2" t="s">
        <v>127</v>
      </c>
      <c r="D47" s="2" t="s">
        <v>125</v>
      </c>
      <c r="E47" s="2" t="s">
        <v>96</v>
      </c>
      <c r="F47" s="2">
        <v>100854</v>
      </c>
      <c r="G47" s="2">
        <v>6279</v>
      </c>
      <c r="H47" s="2">
        <v>34.643300000000004</v>
      </c>
      <c r="I47" s="2">
        <v>135.26669999999999</v>
      </c>
    </row>
    <row r="48" spans="1:9" ht="18.75" thickBot="1">
      <c r="A48" s="2" t="s">
        <v>327</v>
      </c>
      <c r="B48" s="2" t="s">
        <v>328</v>
      </c>
      <c r="C48" s="2" t="s">
        <v>129</v>
      </c>
      <c r="D48" s="2" t="s">
        <v>128</v>
      </c>
      <c r="E48" s="2" t="s">
        <v>96</v>
      </c>
      <c r="F48" s="2">
        <v>101982</v>
      </c>
      <c r="G48" s="2">
        <v>6350</v>
      </c>
      <c r="H48" s="2">
        <v>34.965699999999998</v>
      </c>
      <c r="I48" s="2">
        <v>136.68010000000001</v>
      </c>
    </row>
    <row r="49" spans="1:9" ht="18.75" thickBot="1">
      <c r="A49" s="2" t="s">
        <v>131</v>
      </c>
      <c r="B49" s="2" t="s">
        <v>329</v>
      </c>
      <c r="C49" s="2" t="s">
        <v>132</v>
      </c>
      <c r="D49" s="2" t="s">
        <v>130</v>
      </c>
      <c r="E49" s="2" t="s">
        <v>96</v>
      </c>
      <c r="F49" s="2">
        <v>101989</v>
      </c>
      <c r="G49" s="2">
        <v>4421</v>
      </c>
      <c r="H49" s="2">
        <v>35.436999999999998</v>
      </c>
      <c r="I49" s="2">
        <v>139.702</v>
      </c>
    </row>
    <row r="50" spans="1:9" ht="18.75" thickBot="1">
      <c r="A50" s="2" t="s">
        <v>134</v>
      </c>
      <c r="B50" s="2" t="s">
        <v>330</v>
      </c>
      <c r="C50" s="2" t="s">
        <v>135</v>
      </c>
      <c r="D50" s="2" t="s">
        <v>133</v>
      </c>
      <c r="E50" s="2" t="s">
        <v>136</v>
      </c>
      <c r="F50" s="2">
        <v>101620</v>
      </c>
      <c r="G50" s="2">
        <v>8148</v>
      </c>
      <c r="H50" s="2">
        <v>10.6533</v>
      </c>
      <c r="I50" s="2">
        <v>103.4939</v>
      </c>
    </row>
    <row r="51" spans="1:9" ht="18.75" thickBot="1">
      <c r="A51" s="2" t="s">
        <v>138</v>
      </c>
      <c r="B51" s="2" t="s">
        <v>331</v>
      </c>
      <c r="C51" s="2" t="s">
        <v>139</v>
      </c>
      <c r="D51" s="2" t="s">
        <v>137</v>
      </c>
      <c r="E51" s="2" t="s">
        <v>140</v>
      </c>
      <c r="F51" s="2">
        <v>100725</v>
      </c>
      <c r="G51" s="2">
        <v>7405</v>
      </c>
      <c r="H51" s="2">
        <v>37.423000000000002</v>
      </c>
      <c r="I51" s="2">
        <v>126.5949</v>
      </c>
    </row>
    <row r="52" spans="1:9" ht="18.75" thickBot="1">
      <c r="A52" s="2" t="s">
        <v>142</v>
      </c>
      <c r="B52" s="2" t="s">
        <v>332</v>
      </c>
      <c r="C52" s="2" t="s">
        <v>143</v>
      </c>
      <c r="D52" s="2" t="s">
        <v>141</v>
      </c>
      <c r="E52" s="2" t="s">
        <v>140</v>
      </c>
      <c r="F52" s="2">
        <v>100252</v>
      </c>
      <c r="G52" s="2">
        <v>4518</v>
      </c>
      <c r="H52" s="2">
        <v>35.107100000000003</v>
      </c>
      <c r="I52" s="2">
        <v>129.05410000000001</v>
      </c>
    </row>
    <row r="53" spans="1:9" ht="18.75" thickBot="1">
      <c r="A53" s="2" t="s">
        <v>145</v>
      </c>
      <c r="B53" s="2" t="s">
        <v>333</v>
      </c>
      <c r="C53" s="2" t="s">
        <v>146</v>
      </c>
      <c r="D53" s="2" t="s">
        <v>144</v>
      </c>
      <c r="E53" s="2" t="s">
        <v>140</v>
      </c>
      <c r="F53" s="2">
        <v>101882</v>
      </c>
      <c r="G53" s="2">
        <v>6784</v>
      </c>
      <c r="H53" s="2">
        <v>35.457099999999997</v>
      </c>
      <c r="I53" s="2">
        <v>129.40020000000001</v>
      </c>
    </row>
    <row r="54" spans="1:9" ht="18.75" thickBot="1">
      <c r="A54" s="2" t="s">
        <v>148</v>
      </c>
      <c r="B54" s="2" t="s">
        <v>334</v>
      </c>
      <c r="C54" s="2" t="s">
        <v>149</v>
      </c>
      <c r="D54" s="2" t="s">
        <v>147</v>
      </c>
      <c r="E54" s="2" t="s">
        <v>150</v>
      </c>
      <c r="F54" s="2">
        <v>100334</v>
      </c>
      <c r="G54" s="2">
        <v>6824</v>
      </c>
      <c r="H54" s="2">
        <v>6.9627999999999997</v>
      </c>
      <c r="I54" s="2">
        <v>79.841700000000003</v>
      </c>
    </row>
    <row r="55" spans="1:9" ht="19.5" thickBot="1">
      <c r="A55" s="2" t="s">
        <v>404</v>
      </c>
      <c r="B55" s="4" t="s">
        <v>405</v>
      </c>
      <c r="C55" s="2" t="s">
        <v>153</v>
      </c>
      <c r="D55" s="2" t="s">
        <v>151</v>
      </c>
      <c r="E55" s="2" t="s">
        <v>154</v>
      </c>
      <c r="F55" s="2">
        <v>100481</v>
      </c>
      <c r="G55" s="2">
        <v>5854</v>
      </c>
      <c r="H55" s="2">
        <v>31.8307</v>
      </c>
      <c r="I55" s="2">
        <v>-116.6264</v>
      </c>
    </row>
    <row r="56" spans="1:9" ht="19.5" thickBot="1">
      <c r="A56" s="2" t="s">
        <v>406</v>
      </c>
      <c r="B56" s="4" t="s">
        <v>407</v>
      </c>
      <c r="C56" s="2" t="s">
        <v>157</v>
      </c>
      <c r="D56" s="2" t="s">
        <v>155</v>
      </c>
      <c r="E56" s="2" t="s">
        <v>154</v>
      </c>
      <c r="F56" s="2">
        <v>100918</v>
      </c>
      <c r="G56" s="2">
        <v>7428</v>
      </c>
      <c r="H56" s="2">
        <v>17.923300000000001</v>
      </c>
      <c r="I56" s="2">
        <v>-102.1619</v>
      </c>
    </row>
    <row r="57" spans="1:9" ht="18.75" thickBot="1">
      <c r="A57" s="2" t="s">
        <v>159</v>
      </c>
      <c r="B57" s="2" t="s">
        <v>337</v>
      </c>
      <c r="C57" s="2" t="s">
        <v>160</v>
      </c>
      <c r="D57" s="2" t="s">
        <v>158</v>
      </c>
      <c r="E57" s="2" t="s">
        <v>154</v>
      </c>
      <c r="F57" s="2">
        <v>101002</v>
      </c>
      <c r="G57" s="2">
        <v>4379</v>
      </c>
      <c r="H57" s="2">
        <v>19.0688</v>
      </c>
      <c r="I57" s="2">
        <v>-104.31870000000001</v>
      </c>
    </row>
    <row r="58" spans="1:9" ht="18.75" thickBot="1">
      <c r="A58" s="2" t="s">
        <v>429</v>
      </c>
      <c r="B58" s="2" t="s">
        <v>338</v>
      </c>
      <c r="C58" s="2" t="s">
        <v>409</v>
      </c>
      <c r="D58" s="2" t="s">
        <v>408</v>
      </c>
      <c r="E58" s="2" t="s">
        <v>162</v>
      </c>
      <c r="F58" s="2">
        <v>100243</v>
      </c>
      <c r="G58" s="2">
        <v>5523</v>
      </c>
      <c r="H58" s="2">
        <v>5.3951000000000002</v>
      </c>
      <c r="I58" s="2">
        <v>100.349</v>
      </c>
    </row>
    <row r="59" spans="1:9" ht="18.75" thickBot="1">
      <c r="A59" s="2" t="s">
        <v>410</v>
      </c>
      <c r="B59" s="2" t="s">
        <v>339</v>
      </c>
      <c r="C59" s="2" t="s">
        <v>165</v>
      </c>
      <c r="D59" s="2" t="s">
        <v>163</v>
      </c>
      <c r="E59" s="2" t="s">
        <v>162</v>
      </c>
      <c r="F59" s="2">
        <v>101432</v>
      </c>
      <c r="G59" s="2">
        <v>7178</v>
      </c>
      <c r="H59" s="2">
        <v>1.4287000000000001</v>
      </c>
      <c r="I59" s="2">
        <v>103.89919999999999</v>
      </c>
    </row>
    <row r="60" spans="1:9" ht="18.75" thickBot="1">
      <c r="A60" s="2" t="s">
        <v>428</v>
      </c>
      <c r="B60" s="2" t="s">
        <v>340</v>
      </c>
      <c r="C60" s="2" t="s">
        <v>167</v>
      </c>
      <c r="D60" s="2" t="s">
        <v>427</v>
      </c>
      <c r="E60" s="2" t="s">
        <v>162</v>
      </c>
      <c r="F60" s="2">
        <v>100833</v>
      </c>
      <c r="G60" s="2">
        <v>7339</v>
      </c>
      <c r="H60" s="2">
        <v>3.0344000000000002</v>
      </c>
      <c r="I60" s="2">
        <v>101.3471</v>
      </c>
    </row>
    <row r="61" spans="1:9" ht="19.5" thickBot="1">
      <c r="A61" s="2" t="s">
        <v>412</v>
      </c>
      <c r="B61" s="4" t="s">
        <v>411</v>
      </c>
      <c r="C61" s="2" t="s">
        <v>170</v>
      </c>
      <c r="D61" s="2" t="s">
        <v>168</v>
      </c>
      <c r="E61" s="2" t="s">
        <v>171</v>
      </c>
      <c r="F61" s="2">
        <v>100362</v>
      </c>
      <c r="G61" s="2">
        <v>6276</v>
      </c>
      <c r="H61" s="2">
        <v>9.3960000000000008</v>
      </c>
      <c r="I61" s="2">
        <v>-79.922700000000006</v>
      </c>
    </row>
    <row r="62" spans="1:9" ht="18.75" thickBot="1">
      <c r="A62" s="2" t="s">
        <v>173</v>
      </c>
      <c r="B62" s="2" t="s">
        <v>342</v>
      </c>
      <c r="C62" s="2" t="s">
        <v>174</v>
      </c>
      <c r="D62" s="2" t="s">
        <v>172</v>
      </c>
      <c r="E62" s="2" t="s">
        <v>175</v>
      </c>
      <c r="F62" s="2">
        <v>100268</v>
      </c>
      <c r="G62" s="2">
        <v>5542</v>
      </c>
      <c r="H62" s="2">
        <v>-12.0784</v>
      </c>
      <c r="I62" s="2">
        <v>-77.150000000000006</v>
      </c>
    </row>
    <row r="63" spans="1:9" ht="18.75" thickBot="1">
      <c r="A63" s="2" t="s">
        <v>424</v>
      </c>
      <c r="B63" s="2" t="s">
        <v>343</v>
      </c>
      <c r="C63" s="2" t="s">
        <v>178</v>
      </c>
      <c r="D63" s="2" t="s">
        <v>176</v>
      </c>
      <c r="E63" s="2" t="s">
        <v>179</v>
      </c>
      <c r="F63" s="2">
        <v>100292</v>
      </c>
      <c r="G63" s="2">
        <v>7623</v>
      </c>
      <c r="H63" s="2">
        <v>10.295400000000001</v>
      </c>
      <c r="I63" s="2">
        <v>123.91670000000001</v>
      </c>
    </row>
    <row r="64" spans="1:9" ht="18.75" thickBot="1">
      <c r="A64" s="2" t="s">
        <v>181</v>
      </c>
      <c r="B64" s="2" t="s">
        <v>344</v>
      </c>
      <c r="C64" s="2" t="s">
        <v>182</v>
      </c>
      <c r="D64" s="2" t="s">
        <v>180</v>
      </c>
      <c r="E64" s="2" t="s">
        <v>179</v>
      </c>
      <c r="F64" s="2">
        <v>100265</v>
      </c>
      <c r="G64" s="2">
        <v>11412</v>
      </c>
      <c r="H64" s="2">
        <v>8.4977999999999998</v>
      </c>
      <c r="I64" s="2">
        <v>124.6722</v>
      </c>
    </row>
    <row r="65" spans="1:9" ht="18.75" thickBot="1">
      <c r="A65" s="2" t="s">
        <v>184</v>
      </c>
      <c r="B65" s="2" t="s">
        <v>345</v>
      </c>
      <c r="C65" s="2" t="s">
        <v>185</v>
      </c>
      <c r="D65" s="2" t="s">
        <v>183</v>
      </c>
      <c r="E65" s="2" t="s">
        <v>179</v>
      </c>
      <c r="F65" s="2">
        <v>100400</v>
      </c>
      <c r="G65" s="2">
        <v>7717</v>
      </c>
      <c r="H65" s="2">
        <v>7.0677000000000003</v>
      </c>
      <c r="I65" s="2">
        <v>125.63500000000001</v>
      </c>
    </row>
    <row r="66" spans="1:9" ht="18.75" thickBot="1">
      <c r="A66" s="2" t="s">
        <v>186</v>
      </c>
      <c r="B66" s="2" t="s">
        <v>346</v>
      </c>
      <c r="C66" s="2" t="s">
        <v>187</v>
      </c>
      <c r="D66" s="2" t="s">
        <v>274</v>
      </c>
      <c r="E66" s="2" t="s">
        <v>179</v>
      </c>
      <c r="F66" s="2">
        <v>101065</v>
      </c>
      <c r="G66" s="2">
        <v>7412</v>
      </c>
      <c r="H66" s="2">
        <v>14.595499999999999</v>
      </c>
      <c r="I66" s="2">
        <v>120.9335</v>
      </c>
    </row>
    <row r="67" spans="1:9" ht="18.75" thickBot="1">
      <c r="A67" s="2" t="s">
        <v>186</v>
      </c>
      <c r="B67" s="2" t="s">
        <v>346</v>
      </c>
      <c r="C67" s="2" t="s">
        <v>187</v>
      </c>
      <c r="D67" s="2" t="s">
        <v>274</v>
      </c>
      <c r="E67" s="2" t="s">
        <v>179</v>
      </c>
      <c r="F67" s="2">
        <v>101065</v>
      </c>
      <c r="G67" s="2">
        <v>7412</v>
      </c>
      <c r="H67" s="2">
        <v>14.595499999999999</v>
      </c>
      <c r="I67" s="2">
        <v>120.9335</v>
      </c>
    </row>
    <row r="68" spans="1:9" ht="18.75" thickBot="1">
      <c r="A68" s="2" t="s">
        <v>189</v>
      </c>
      <c r="B68" s="2" t="s">
        <v>347</v>
      </c>
      <c r="C68" s="2" t="s">
        <v>190</v>
      </c>
      <c r="D68" s="2" t="s">
        <v>188</v>
      </c>
      <c r="E68" s="2" t="s">
        <v>179</v>
      </c>
      <c r="F68" s="2">
        <v>101736</v>
      </c>
      <c r="G68" s="2">
        <v>4341</v>
      </c>
      <c r="H68" s="2">
        <v>14.8064</v>
      </c>
      <c r="I68" s="2">
        <v>120.2818</v>
      </c>
    </row>
    <row r="69" spans="1:9" ht="19.5" thickBot="1">
      <c r="A69" s="2" t="s">
        <v>426</v>
      </c>
      <c r="B69" s="4" t="s">
        <v>413</v>
      </c>
      <c r="C69" s="2" t="s">
        <v>192</v>
      </c>
      <c r="D69" s="2" t="s">
        <v>425</v>
      </c>
      <c r="E69" s="2" t="s">
        <v>193</v>
      </c>
      <c r="F69" s="2">
        <v>101298</v>
      </c>
      <c r="G69" s="2">
        <v>9442</v>
      </c>
      <c r="H69" s="2">
        <v>24.771599999999999</v>
      </c>
      <c r="I69" s="2">
        <v>67.304599999999994</v>
      </c>
    </row>
    <row r="70" spans="1:9" ht="18.75" thickBot="1">
      <c r="A70" s="2" t="s">
        <v>195</v>
      </c>
      <c r="B70" s="2" t="s">
        <v>349</v>
      </c>
      <c r="C70" s="2" t="s">
        <v>196</v>
      </c>
      <c r="D70" s="2" t="s">
        <v>194</v>
      </c>
      <c r="E70" s="2" t="s">
        <v>197</v>
      </c>
      <c r="F70" s="2">
        <v>100761</v>
      </c>
      <c r="G70" s="2">
        <v>7940</v>
      </c>
      <c r="H70" s="2">
        <v>21.442499999999999</v>
      </c>
      <c r="I70" s="2">
        <v>39.146799999999999</v>
      </c>
    </row>
    <row r="71" spans="1:9" ht="18.75" thickBot="1">
      <c r="A71" s="2" t="s">
        <v>199</v>
      </c>
      <c r="B71" s="2" t="s">
        <v>350</v>
      </c>
      <c r="C71" s="2" t="s">
        <v>200</v>
      </c>
      <c r="D71" s="2" t="s">
        <v>198</v>
      </c>
      <c r="E71" s="2" t="s">
        <v>199</v>
      </c>
      <c r="F71" s="2">
        <v>101605</v>
      </c>
      <c r="G71" s="2">
        <v>4484</v>
      </c>
      <c r="H71" s="2">
        <v>1.2063999999999999</v>
      </c>
      <c r="I71" s="2">
        <v>103.6842</v>
      </c>
    </row>
    <row r="72" spans="1:9" ht="18.75" thickBot="1">
      <c r="A72" s="2" t="s">
        <v>202</v>
      </c>
      <c r="B72" s="2" t="s">
        <v>351</v>
      </c>
      <c r="C72" s="2" t="s">
        <v>203</v>
      </c>
      <c r="D72" s="2" t="s">
        <v>201</v>
      </c>
      <c r="E72" s="2" t="s">
        <v>204</v>
      </c>
      <c r="F72" s="2">
        <v>100187</v>
      </c>
      <c r="G72" s="2">
        <v>7311</v>
      </c>
      <c r="H72" s="2">
        <v>13.7165</v>
      </c>
      <c r="I72" s="2">
        <v>100.5107</v>
      </c>
    </row>
    <row r="73" spans="1:9" ht="18.75" thickBot="1">
      <c r="A73" s="2" t="s">
        <v>206</v>
      </c>
      <c r="B73" s="2" t="s">
        <v>352</v>
      </c>
      <c r="C73" s="2" t="s">
        <v>207</v>
      </c>
      <c r="D73" s="2" t="s">
        <v>205</v>
      </c>
      <c r="E73" s="2" t="s">
        <v>204</v>
      </c>
      <c r="F73" s="2">
        <v>100921</v>
      </c>
      <c r="G73" s="2">
        <v>7191</v>
      </c>
      <c r="H73" s="2">
        <v>13.065099999999999</v>
      </c>
      <c r="I73" s="2">
        <v>100.8625</v>
      </c>
    </row>
    <row r="74" spans="1:9" ht="18.75" thickBot="1">
      <c r="A74" s="2" t="s">
        <v>209</v>
      </c>
      <c r="B74" s="2" t="s">
        <v>353</v>
      </c>
      <c r="C74" s="2" t="s">
        <v>210</v>
      </c>
      <c r="D74" s="2" t="s">
        <v>208</v>
      </c>
      <c r="E74" s="2" t="s">
        <v>211</v>
      </c>
      <c r="F74" s="2">
        <v>100803</v>
      </c>
      <c r="G74" s="2">
        <v>7285</v>
      </c>
      <c r="H74" s="2">
        <v>25.166499999999999</v>
      </c>
      <c r="I74" s="2">
        <v>121.749</v>
      </c>
    </row>
    <row r="75" spans="1:9" ht="18.75" thickBot="1">
      <c r="A75" s="2" t="s">
        <v>213</v>
      </c>
      <c r="B75" s="2" t="s">
        <v>354</v>
      </c>
      <c r="C75" s="2" t="s">
        <v>214</v>
      </c>
      <c r="D75" s="2" t="s">
        <v>212</v>
      </c>
      <c r="E75" s="2" t="s">
        <v>211</v>
      </c>
      <c r="F75" s="2">
        <v>100790</v>
      </c>
      <c r="G75" s="2">
        <v>7348</v>
      </c>
      <c r="H75" s="2">
        <v>22.621400000000001</v>
      </c>
      <c r="I75" s="2">
        <v>120.2473</v>
      </c>
    </row>
    <row r="76" spans="1:9" ht="18.75" thickBot="1">
      <c r="A76" s="2" t="s">
        <v>216</v>
      </c>
      <c r="B76" s="2" t="s">
        <v>355</v>
      </c>
      <c r="C76" s="2" t="s">
        <v>217</v>
      </c>
      <c r="D76" s="2" t="s">
        <v>215</v>
      </c>
      <c r="E76" s="2" t="s">
        <v>211</v>
      </c>
      <c r="F76" s="2">
        <v>101776</v>
      </c>
      <c r="G76" s="2">
        <v>8413</v>
      </c>
      <c r="H76" s="2">
        <v>25.151599999999998</v>
      </c>
      <c r="I76" s="2">
        <v>121.3428</v>
      </c>
    </row>
    <row r="77" spans="1:9" ht="18.75" thickBot="1">
      <c r="A77" s="2" t="s">
        <v>219</v>
      </c>
      <c r="B77" s="2" t="s">
        <v>356</v>
      </c>
      <c r="C77" s="2" t="s">
        <v>220</v>
      </c>
      <c r="D77" s="2" t="s">
        <v>218</v>
      </c>
      <c r="E77" s="2" t="s">
        <v>211</v>
      </c>
      <c r="F77" s="2">
        <v>101785</v>
      </c>
      <c r="G77" s="2">
        <v>4356</v>
      </c>
      <c r="H77" s="2">
        <v>24.302700000000002</v>
      </c>
      <c r="I77" s="2">
        <v>120.4738</v>
      </c>
    </row>
    <row r="78" spans="1:9" ht="18.75" thickBot="1">
      <c r="A78" s="2" t="s">
        <v>222</v>
      </c>
      <c r="B78" s="2" t="s">
        <v>357</v>
      </c>
      <c r="C78" s="2" t="s">
        <v>223</v>
      </c>
      <c r="D78" s="2" t="s">
        <v>221</v>
      </c>
      <c r="E78" s="2" t="s">
        <v>224</v>
      </c>
      <c r="F78" s="2">
        <v>100307</v>
      </c>
      <c r="G78" s="2">
        <v>7992</v>
      </c>
      <c r="H78" s="2">
        <v>32.784999999999997</v>
      </c>
      <c r="I78" s="2">
        <v>-79.916200000000003</v>
      </c>
    </row>
    <row r="79" spans="1:9" ht="18.75" thickBot="1">
      <c r="A79" s="2" t="s">
        <v>226</v>
      </c>
      <c r="B79" s="2" t="s">
        <v>358</v>
      </c>
      <c r="C79" s="2" t="s">
        <v>227</v>
      </c>
      <c r="D79" s="2" t="s">
        <v>225</v>
      </c>
      <c r="E79" s="2" t="s">
        <v>224</v>
      </c>
      <c r="F79" s="2">
        <v>100917</v>
      </c>
      <c r="G79" s="2">
        <v>4761</v>
      </c>
      <c r="H79" s="2">
        <v>33.698399999999999</v>
      </c>
      <c r="I79" s="2">
        <v>-118.24299999999999</v>
      </c>
    </row>
    <row r="80" spans="1:9" ht="18.75" thickBot="1">
      <c r="A80" s="2" t="s">
        <v>229</v>
      </c>
      <c r="B80" s="2" t="s">
        <v>359</v>
      </c>
      <c r="C80" s="2" t="s">
        <v>230</v>
      </c>
      <c r="D80" s="2" t="s">
        <v>228</v>
      </c>
      <c r="E80" s="2" t="s">
        <v>224</v>
      </c>
      <c r="F80" s="2">
        <v>101238</v>
      </c>
      <c r="G80" s="2">
        <v>4428</v>
      </c>
      <c r="H80" s="2">
        <v>40.698500000000003</v>
      </c>
      <c r="I80" s="2">
        <v>-74.007099999999994</v>
      </c>
    </row>
    <row r="81" spans="1:9" ht="18.75" thickBot="1">
      <c r="A81" s="2" t="s">
        <v>232</v>
      </c>
      <c r="B81" s="2" t="s">
        <v>360</v>
      </c>
      <c r="C81" s="2" t="s">
        <v>233</v>
      </c>
      <c r="D81" s="2" t="s">
        <v>231</v>
      </c>
      <c r="E81" s="2" t="s">
        <v>224</v>
      </c>
      <c r="F81" s="2">
        <v>101239</v>
      </c>
      <c r="G81" s="2">
        <v>7415</v>
      </c>
      <c r="H81" s="2">
        <v>37.800899999999999</v>
      </c>
      <c r="I81" s="2">
        <v>-122.352</v>
      </c>
    </row>
    <row r="82" spans="1:9" ht="18.75" thickBot="1">
      <c r="A82" s="2" t="s">
        <v>235</v>
      </c>
      <c r="B82" s="2" t="s">
        <v>361</v>
      </c>
      <c r="C82" s="2" t="s">
        <v>236</v>
      </c>
      <c r="D82" s="2" t="s">
        <v>234</v>
      </c>
      <c r="E82" s="2" t="s">
        <v>224</v>
      </c>
      <c r="F82" s="2">
        <v>101213</v>
      </c>
      <c r="G82" s="2">
        <v>6290</v>
      </c>
      <c r="H82" s="2">
        <v>36.848999999999997</v>
      </c>
      <c r="I82" s="2">
        <v>-76.300700000000006</v>
      </c>
    </row>
    <row r="83" spans="1:9" ht="18.75" thickBot="1">
      <c r="A83" s="2" t="s">
        <v>238</v>
      </c>
      <c r="B83" s="2" t="s">
        <v>362</v>
      </c>
      <c r="C83" s="2" t="s">
        <v>239</v>
      </c>
      <c r="D83" s="2" t="s">
        <v>237</v>
      </c>
      <c r="E83" s="2" t="s">
        <v>224</v>
      </c>
      <c r="F83" s="2">
        <v>101748</v>
      </c>
      <c r="G83" s="2">
        <v>4575</v>
      </c>
      <c r="H83" s="2">
        <v>32.1325</v>
      </c>
      <c r="I83" s="2">
        <v>-81.138099999999994</v>
      </c>
    </row>
    <row r="84" spans="1:9" ht="19.5" thickBot="1">
      <c r="A84" s="2" t="s">
        <v>418</v>
      </c>
      <c r="B84" s="8" t="s">
        <v>414</v>
      </c>
      <c r="C84" s="2" t="s">
        <v>242</v>
      </c>
      <c r="D84" s="2" t="s">
        <v>240</v>
      </c>
      <c r="E84" s="2" t="s">
        <v>243</v>
      </c>
      <c r="F84" s="2">
        <v>100266</v>
      </c>
      <c r="G84" s="2">
        <v>4032</v>
      </c>
      <c r="H84" s="2">
        <v>20.972899999999999</v>
      </c>
      <c r="I84" s="2">
        <v>107.06270000000001</v>
      </c>
    </row>
    <row r="85" spans="1:9" ht="19.5" thickBot="1">
      <c r="A85" s="2" t="s">
        <v>420</v>
      </c>
      <c r="B85" s="8" t="s">
        <v>419</v>
      </c>
      <c r="C85" s="2" t="s">
        <v>242</v>
      </c>
      <c r="D85" s="2" t="s">
        <v>421</v>
      </c>
      <c r="E85" s="2" t="s">
        <v>243</v>
      </c>
      <c r="F85" s="2">
        <v>100266</v>
      </c>
      <c r="G85" s="2">
        <v>8056</v>
      </c>
      <c r="H85" s="2">
        <v>20.972899999999999</v>
      </c>
      <c r="I85" s="2">
        <v>107.06270000000001</v>
      </c>
    </row>
    <row r="86" spans="1:9" ht="18.75" thickBot="1">
      <c r="A86" s="2" t="s">
        <v>245</v>
      </c>
      <c r="B86" s="2" t="s">
        <v>364</v>
      </c>
      <c r="C86" s="2" t="s">
        <v>246</v>
      </c>
      <c r="D86" s="2" t="s">
        <v>244</v>
      </c>
      <c r="E86" s="2" t="s">
        <v>243</v>
      </c>
      <c r="F86" s="2">
        <v>100396</v>
      </c>
      <c r="G86" s="2">
        <v>6068</v>
      </c>
      <c r="H86" s="2">
        <v>16.099699999999999</v>
      </c>
      <c r="I86" s="2">
        <v>108.2182</v>
      </c>
    </row>
    <row r="87" spans="1:9" ht="18.75" thickBot="1">
      <c r="A87" s="2" t="s">
        <v>248</v>
      </c>
      <c r="B87" s="2" t="s">
        <v>365</v>
      </c>
      <c r="C87" s="2" t="s">
        <v>249</v>
      </c>
      <c r="D87" s="2" t="s">
        <v>247</v>
      </c>
      <c r="E87" s="2" t="s">
        <v>243</v>
      </c>
      <c r="F87" s="2">
        <v>100628</v>
      </c>
      <c r="G87" s="2">
        <v>4089</v>
      </c>
      <c r="H87" s="2">
        <v>20.869299999999999</v>
      </c>
      <c r="I87" s="2">
        <v>106.6892</v>
      </c>
    </row>
    <row r="88" spans="1:9" ht="19.5" thickBot="1">
      <c r="A88" s="2" t="s">
        <v>417</v>
      </c>
      <c r="B88" s="4" t="s">
        <v>416</v>
      </c>
      <c r="C88" s="2" t="s">
        <v>251</v>
      </c>
      <c r="D88" s="2" t="s">
        <v>415</v>
      </c>
      <c r="E88" s="2" t="s">
        <v>243</v>
      </c>
      <c r="F88" s="2">
        <v>100642</v>
      </c>
      <c r="G88" s="2">
        <v>11419</v>
      </c>
      <c r="H88" s="2">
        <v>10.7798</v>
      </c>
      <c r="I88" s="2">
        <v>106.70950000000001</v>
      </c>
    </row>
    <row r="89" spans="1:9" ht="18.75" thickBot="1">
      <c r="A89" s="2" t="s">
        <v>252</v>
      </c>
      <c r="B89" s="2" t="s">
        <v>367</v>
      </c>
      <c r="C89" s="2" t="s">
        <v>253</v>
      </c>
      <c r="D89" s="2" t="s">
        <v>375</v>
      </c>
      <c r="E89" s="2" t="s">
        <v>254</v>
      </c>
      <c r="F89" s="2">
        <v>101918</v>
      </c>
      <c r="G89" s="2">
        <v>6370</v>
      </c>
      <c r="H89" s="2">
        <v>-33.033799999999999</v>
      </c>
      <c r="I89" s="2">
        <v>-71.613600000000005</v>
      </c>
    </row>
    <row r="90" spans="1:9" ht="18.75" thickBot="1">
      <c r="A90" s="2" t="s">
        <v>435</v>
      </c>
      <c r="B90" s="2" t="s">
        <v>368</v>
      </c>
      <c r="C90" s="2" t="s">
        <v>257</v>
      </c>
      <c r="D90" s="2" t="s">
        <v>255</v>
      </c>
      <c r="E90" s="2" t="s">
        <v>140</v>
      </c>
      <c r="F90" s="2">
        <v>100253</v>
      </c>
      <c r="G90" s="2">
        <v>10310</v>
      </c>
      <c r="H90" s="2">
        <v>35.044499999999999</v>
      </c>
      <c r="I90" s="2">
        <v>128.7741</v>
      </c>
    </row>
    <row r="91" spans="1:9" ht="19.5" thickBot="1">
      <c r="A91" s="2" t="s">
        <v>423</v>
      </c>
      <c r="B91" s="4" t="s">
        <v>379</v>
      </c>
      <c r="C91" s="2" t="s">
        <v>273</v>
      </c>
      <c r="D91" s="2"/>
      <c r="E91" s="2" t="s">
        <v>243</v>
      </c>
      <c r="F91" s="2">
        <v>101905</v>
      </c>
      <c r="G91" s="2">
        <v>6373</v>
      </c>
      <c r="H91" s="2">
        <v>10.345000000000001</v>
      </c>
      <c r="I91" s="2">
        <v>107.06</v>
      </c>
    </row>
  </sheetData>
  <autoFilter ref="A1:I91" xr:uid="{00000000-0001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F2C7-5DD7-4092-AD82-724509104183}">
  <dimension ref="A1:I93"/>
  <sheetViews>
    <sheetView workbookViewId="0">
      <selection activeCell="I93" sqref="B2:I93"/>
    </sheetView>
  </sheetViews>
  <sheetFormatPr defaultColWidth="34.42578125" defaultRowHeight="15.75"/>
  <cols>
    <col min="1" max="1" width="6.5703125" bestFit="1" customWidth="1"/>
    <col min="2" max="2" width="29.5703125" bestFit="1" customWidth="1"/>
    <col min="3" max="3" width="32.5703125" bestFit="1" customWidth="1"/>
    <col min="4" max="4" width="23.140625" bestFit="1" customWidth="1"/>
    <col min="5" max="5" width="19.85546875" bestFit="1" customWidth="1"/>
    <col min="6" max="6" width="10.85546875" bestFit="1" customWidth="1"/>
    <col min="7" max="7" width="27.42578125" bestFit="1" customWidth="1"/>
    <col min="8" max="8" width="5.28515625" bestFit="1" customWidth="1"/>
    <col min="9" max="9" width="6" bestFit="1" customWidth="1"/>
  </cols>
  <sheetData>
    <row r="1" spans="1:9" ht="18.75" thickBot="1">
      <c r="A1" s="5" t="s">
        <v>370</v>
      </c>
      <c r="B1" s="6" t="s">
        <v>269</v>
      </c>
      <c r="C1" s="6" t="s">
        <v>270</v>
      </c>
      <c r="D1" s="7" t="s">
        <v>258</v>
      </c>
      <c r="E1" s="7" t="s">
        <v>263</v>
      </c>
      <c r="F1" s="6" t="s">
        <v>259</v>
      </c>
      <c r="G1" s="6" t="s">
        <v>260</v>
      </c>
      <c r="H1" s="6" t="s">
        <v>261</v>
      </c>
      <c r="I1" s="6" t="s">
        <v>262</v>
      </c>
    </row>
    <row r="2" spans="1:9" ht="18.75" thickBot="1">
      <c r="A2" s="2">
        <v>1</v>
      </c>
      <c r="B2" s="2" t="s">
        <v>0</v>
      </c>
      <c r="C2" s="2" t="s">
        <v>275</v>
      </c>
      <c r="D2" t="str">
        <f>VLOOKUP(B2,all_ports_list!$A$2:$I$88,3,FALSE)</f>
        <v>JBA</v>
      </c>
      <c r="E2" t="str">
        <f>VLOOKUP(B2,all_ports_list!$A$2:$I$88,4,FALSE)</f>
        <v>AEJEA</v>
      </c>
      <c r="F2" t="str">
        <f>VLOOKUP(B2,all_ports_list!$A$2:$I$88,5,FALSE)</f>
        <v>UNITED ARAB EMIRATES</v>
      </c>
      <c r="G2">
        <f>VLOOKUP(B2,all_ports_list!$A$2:$I$88,6,FALSE)</f>
        <v>100758</v>
      </c>
      <c r="H2">
        <f>VLOOKUP(B2,all_ports_list!$A$2:$I$88,7,FALSE)</f>
        <v>6375</v>
      </c>
      <c r="I2">
        <f>VLOOKUP(B2,all_ports_list!$A$2:$I$88,8,FALSE)</f>
        <v>25.044699999999999</v>
      </c>
    </row>
    <row r="3" spans="1:9" ht="18.75" thickBot="1">
      <c r="A3" s="2">
        <v>2</v>
      </c>
      <c r="B3" s="2" t="s">
        <v>4</v>
      </c>
      <c r="C3" s="2" t="s">
        <v>276</v>
      </c>
      <c r="D3" t="str">
        <f>VLOOKUP(B3,all_ports_list!$A$2:$I$88,3,FALSE)</f>
        <v>DLN</v>
      </c>
      <c r="E3" t="str">
        <f>VLOOKUP(B3,all_ports_list!$A$2:$I$88,4,FALSE)</f>
        <v>CNDLC</v>
      </c>
      <c r="F3" t="str">
        <f>VLOOKUP(B3,all_ports_list!$A$2:$I$88,5,FALSE)</f>
        <v>CHINA</v>
      </c>
      <c r="G3">
        <f>VLOOKUP(B3,all_ports_list!$A$2:$I$88,6,FALSE)</f>
        <v>100426</v>
      </c>
      <c r="H3">
        <f>VLOOKUP(B3,all_ports_list!$A$2:$I$88,7,FALSE)</f>
        <v>7323</v>
      </c>
      <c r="I3">
        <f>VLOOKUP(B3,all_ports_list!$A$2:$I$88,8,FALSE)</f>
        <v>38.944899999999997</v>
      </c>
    </row>
    <row r="4" spans="1:9" ht="18.75" thickBot="1">
      <c r="A4" s="2">
        <v>3</v>
      </c>
      <c r="B4" s="2" t="s">
        <v>8</v>
      </c>
      <c r="C4" s="2" t="s">
        <v>277</v>
      </c>
      <c r="D4" t="str">
        <f>VLOOKUP(B4,all_ports_list!$A$2:$I$88,3,FALSE)</f>
        <v>FUZ</v>
      </c>
      <c r="E4" t="str">
        <f>VLOOKUP(B4,all_ports_list!$A$2:$I$88,4,FALSE)</f>
        <v>CNFOC</v>
      </c>
      <c r="F4" t="str">
        <f>VLOOKUP(B4,all_ports_list!$A$2:$I$88,5,FALSE)</f>
        <v>CHINA</v>
      </c>
      <c r="G4">
        <f>VLOOKUP(B4,all_ports_list!$A$2:$I$88,6,FALSE)</f>
        <v>100539</v>
      </c>
      <c r="H4">
        <f>VLOOKUP(B4,all_ports_list!$A$2:$I$88,7,FALSE)</f>
        <v>8180</v>
      </c>
      <c r="I4">
        <f>VLOOKUP(B4,all_ports_list!$A$2:$I$88,8,FALSE)</f>
        <v>26.0473</v>
      </c>
    </row>
    <row r="5" spans="1:9" ht="18.75" thickBot="1">
      <c r="A5" s="2">
        <v>4</v>
      </c>
      <c r="B5" s="2" t="s">
        <v>278</v>
      </c>
      <c r="C5" s="2" t="s">
        <v>279</v>
      </c>
      <c r="D5" t="str">
        <f>VLOOKUP(B5,all_ports_list!$A$2:$I$88,3,FALSE)</f>
        <v>TNJ</v>
      </c>
      <c r="E5" t="str">
        <f>VLOOKUP(B5,all_ports_list!$A$2:$I$88,4,FALSE)</f>
        <v>CNHSK</v>
      </c>
      <c r="F5" t="str">
        <f>VLOOKUP(B5,all_ports_list!$A$2:$I$88,5,FALSE)</f>
        <v>CHINA</v>
      </c>
      <c r="G5">
        <f>VLOOKUP(B5,all_ports_list!$A$2:$I$88,6,FALSE)</f>
        <v>101822</v>
      </c>
      <c r="H5">
        <f>VLOOKUP(B5,all_ports_list!$A$2:$I$88,7,FALSE)</f>
        <v>4443</v>
      </c>
      <c r="I5">
        <f>VLOOKUP(B5,all_ports_list!$A$2:$I$88,8,FALSE)</f>
        <v>38.575000000000003</v>
      </c>
    </row>
    <row r="6" spans="1:9" ht="18.75" thickBot="1">
      <c r="A6" s="2">
        <v>5</v>
      </c>
      <c r="B6" s="2" t="s">
        <v>376</v>
      </c>
      <c r="C6" s="2" t="s">
        <v>280</v>
      </c>
      <c r="D6" t="e">
        <f>VLOOKUP(B6,all_ports_list!$A$2:$I$88,3,FALSE)</f>
        <v>#N/A</v>
      </c>
      <c r="E6" t="e">
        <f>VLOOKUP(B6,all_ports_list!$A$2:$I$88,4,FALSE)</f>
        <v>#N/A</v>
      </c>
      <c r="F6" t="e">
        <f>VLOOKUP(B6,all_ports_list!$A$2:$I$88,5,FALSE)</f>
        <v>#N/A</v>
      </c>
      <c r="G6" t="e">
        <f>VLOOKUP(B6,all_ports_list!$A$2:$I$88,6,FALSE)</f>
        <v>#N/A</v>
      </c>
      <c r="H6" t="e">
        <f>VLOOKUP(B6,all_ports_list!$A$2:$I$88,7,FALSE)</f>
        <v>#N/A</v>
      </c>
      <c r="I6" t="e">
        <f>VLOOKUP(B6,all_ports_list!$A$2:$I$88,8,FALSE)</f>
        <v>#N/A</v>
      </c>
    </row>
    <row r="7" spans="1:9" ht="18.75" thickBot="1">
      <c r="A7" s="2">
        <v>6</v>
      </c>
      <c r="B7" s="2" t="s">
        <v>377</v>
      </c>
      <c r="C7" s="2" t="s">
        <v>281</v>
      </c>
      <c r="D7" t="str">
        <f>VLOOKUP(B7,all_ports_list!$A$2:$I$88,3,FALSE)</f>
        <v>LNG</v>
      </c>
      <c r="E7" t="str">
        <f>VLOOKUP(B7,all_ports_list!$A$2:$I$88,4,FALSE)</f>
        <v>CNLYG</v>
      </c>
      <c r="F7" t="str">
        <f>VLOOKUP(B7,all_ports_list!$A$2:$I$88,5,FALSE)</f>
        <v>CHINA</v>
      </c>
      <c r="G7">
        <f>VLOOKUP(B7,all_ports_list!$A$2:$I$88,6,FALSE)</f>
        <v>100952</v>
      </c>
      <c r="H7">
        <f>VLOOKUP(B7,all_ports_list!$A$2:$I$88,7,FALSE)</f>
        <v>7981</v>
      </c>
      <c r="I7">
        <f>VLOOKUP(B7,all_ports_list!$A$2:$I$88,8,FALSE)</f>
        <v>34.743200000000002</v>
      </c>
    </row>
    <row r="8" spans="1:9" ht="18.75" thickBot="1">
      <c r="A8" s="2">
        <v>7</v>
      </c>
      <c r="B8" s="2" t="s">
        <v>18</v>
      </c>
      <c r="C8" s="2" t="s">
        <v>282</v>
      </c>
      <c r="D8" t="e">
        <f>VLOOKUP(B8,all_ports_list!$A$2:$I$88,3,FALSE)</f>
        <v>#N/A</v>
      </c>
      <c r="E8" t="e">
        <f>VLOOKUP(B8,all_ports_list!$A$2:$I$88,4,FALSE)</f>
        <v>#N/A</v>
      </c>
      <c r="F8" t="e">
        <f>VLOOKUP(B8,all_ports_list!$A$2:$I$88,5,FALSE)</f>
        <v>#N/A</v>
      </c>
      <c r="G8" t="e">
        <f>VLOOKUP(B8,all_ports_list!$A$2:$I$88,6,FALSE)</f>
        <v>#N/A</v>
      </c>
      <c r="H8" t="e">
        <f>VLOOKUP(B8,all_ports_list!$A$2:$I$88,7,FALSE)</f>
        <v>#N/A</v>
      </c>
      <c r="I8" t="e">
        <f>VLOOKUP(B8,all_ports_list!$A$2:$I$88,8,FALSE)</f>
        <v>#N/A</v>
      </c>
    </row>
    <row r="9" spans="1:9" ht="54.75" thickBot="1">
      <c r="A9" s="2">
        <v>8</v>
      </c>
      <c r="B9" s="2" t="s">
        <v>271</v>
      </c>
      <c r="C9" s="2" t="s">
        <v>283</v>
      </c>
      <c r="D9" t="e">
        <f>VLOOKUP(B9,all_ports_list!$A$2:$I$88,3,FALSE)</f>
        <v>#N/A</v>
      </c>
      <c r="E9" t="e">
        <f>VLOOKUP(B9,all_ports_list!$A$2:$I$88,4,FALSE)</f>
        <v>#N/A</v>
      </c>
      <c r="F9" t="e">
        <f>VLOOKUP(B9,all_ports_list!$A$2:$I$88,5,FALSE)</f>
        <v>#N/A</v>
      </c>
      <c r="G9" t="e">
        <f>VLOOKUP(B9,all_ports_list!$A$2:$I$88,6,FALSE)</f>
        <v>#N/A</v>
      </c>
      <c r="H9" t="e">
        <f>VLOOKUP(B9,all_ports_list!$A$2:$I$88,7,FALSE)</f>
        <v>#N/A</v>
      </c>
      <c r="I9" t="e">
        <f>VLOOKUP(B9,all_ports_list!$A$2:$I$88,8,FALSE)</f>
        <v>#N/A</v>
      </c>
    </row>
    <row r="10" spans="1:9" ht="18.75" thickBot="1">
      <c r="A10" s="2">
        <v>9</v>
      </c>
      <c r="B10" s="2" t="s">
        <v>21</v>
      </c>
      <c r="C10" s="2" t="s">
        <v>284</v>
      </c>
      <c r="D10" t="str">
        <f>VLOOKUP(B10,all_ports_list!$A$2:$I$88,3,FALSE)</f>
        <v>NSA</v>
      </c>
      <c r="E10" t="str">
        <f>VLOOKUP(B10,all_ports_list!$A$2:$I$88,4,FALSE)</f>
        <v>CNNSS</v>
      </c>
      <c r="F10" t="str">
        <f>VLOOKUP(B10,all_ports_list!$A$2:$I$88,5,FALSE)</f>
        <v>CHINA</v>
      </c>
      <c r="G10">
        <f>VLOOKUP(B10,all_ports_list!$A$2:$I$88,6,FALSE)</f>
        <v>101223</v>
      </c>
      <c r="H10">
        <f>VLOOKUP(B10,all_ports_list!$A$2:$I$88,7,FALSE)</f>
        <v>8588</v>
      </c>
      <c r="I10">
        <f>VLOOKUP(B10,all_ports_list!$A$2:$I$88,8,FALSE)</f>
        <v>22.6325</v>
      </c>
    </row>
    <row r="11" spans="1:9" ht="18.75" thickBot="1">
      <c r="A11" s="2">
        <v>10</v>
      </c>
      <c r="B11" s="2" t="s">
        <v>24</v>
      </c>
      <c r="C11" s="2" t="s">
        <v>285</v>
      </c>
      <c r="D11" t="str">
        <f>VLOOKUP(B11,all_ports_list!$A$2:$I$88,3,FALSE)</f>
        <v>QZH</v>
      </c>
      <c r="E11" t="str">
        <f>VLOOKUP(B11,all_ports_list!$A$2:$I$88,4,FALSE)</f>
        <v>CNQZH</v>
      </c>
      <c r="F11" t="str">
        <f>VLOOKUP(B11,all_ports_list!$A$2:$I$88,5,FALSE)</f>
        <v>CHINA</v>
      </c>
      <c r="G11">
        <f>VLOOKUP(B11,all_ports_list!$A$2:$I$88,6,FALSE)</f>
        <v>101475</v>
      </c>
      <c r="H11">
        <f>VLOOKUP(B11,all_ports_list!$A$2:$I$88,7,FALSE)</f>
        <v>8113</v>
      </c>
      <c r="I11">
        <f>VLOOKUP(B11,all_ports_list!$A$2:$I$88,8,FALSE)</f>
        <v>24.8858</v>
      </c>
    </row>
    <row r="12" spans="1:9" ht="18.75" thickBot="1">
      <c r="A12" s="2">
        <v>11</v>
      </c>
      <c r="B12" s="2" t="s">
        <v>286</v>
      </c>
      <c r="C12" s="2" t="s">
        <v>287</v>
      </c>
      <c r="D12" t="str">
        <f>VLOOKUP(B12,all_ports_list!$A$2:$I$88,3,FALSE)</f>
        <v>RZH</v>
      </c>
      <c r="E12" t="str">
        <f>VLOOKUP(B12,all_ports_list!$A$2:$I$88,4,FALSE)</f>
        <v>CNRZH</v>
      </c>
      <c r="F12" t="str">
        <f>VLOOKUP(B12,all_ports_list!$A$2:$I$88,5,FALSE)</f>
        <v>CHINA</v>
      </c>
      <c r="G12">
        <f>VLOOKUP(B12,all_ports_list!$A$2:$I$88,6,FALSE)</f>
        <v>101541</v>
      </c>
      <c r="H12">
        <f>VLOOKUP(B12,all_ports_list!$A$2:$I$88,7,FALSE)</f>
        <v>4555</v>
      </c>
      <c r="I12">
        <f>VLOOKUP(B12,all_ports_list!$A$2:$I$88,8,FALSE)</f>
        <v>35.362400000000001</v>
      </c>
    </row>
    <row r="13" spans="1:9" ht="18.75" thickBot="1">
      <c r="A13" s="2">
        <v>12</v>
      </c>
      <c r="B13" s="2" t="s">
        <v>29</v>
      </c>
      <c r="C13" s="2" t="s">
        <v>288</v>
      </c>
      <c r="D13" t="str">
        <f>VLOOKUP(B13,all_ports_list!$A$2:$I$88,3,FALSE)</f>
        <v>SHA</v>
      </c>
      <c r="E13" t="str">
        <f>VLOOKUP(B13,all_ports_list!$A$2:$I$88,4,FALSE)</f>
        <v>CNSHA</v>
      </c>
      <c r="F13" t="str">
        <f>VLOOKUP(B13,all_ports_list!$A$2:$I$88,5,FALSE)</f>
        <v>CHINA</v>
      </c>
      <c r="G13">
        <f>VLOOKUP(B13,all_ports_list!$A$2:$I$88,6,FALSE)</f>
        <v>101609</v>
      </c>
      <c r="H13">
        <f>VLOOKUP(B13,all_ports_list!$A$2:$I$88,7,FALSE)</f>
        <v>6291</v>
      </c>
      <c r="I13">
        <f>VLOOKUP(B13,all_ports_list!$A$2:$I$88,8,FALSE)</f>
        <v>31.373899999999999</v>
      </c>
    </row>
    <row r="14" spans="1:9" ht="18.75" thickBot="1">
      <c r="A14" s="2">
        <v>13</v>
      </c>
      <c r="B14" s="2" t="s">
        <v>264</v>
      </c>
      <c r="C14" s="2" t="s">
        <v>289</v>
      </c>
      <c r="D14" t="str">
        <f>VLOOKUP(B14,all_ports_list!$A$2:$I$88,3,FALSE)</f>
        <v>ZOS</v>
      </c>
      <c r="E14" t="str">
        <f>VLOOKUP(B14,all_ports_list!$A$2:$I$88,4,FALSE)</f>
        <v>CNZOS</v>
      </c>
      <c r="F14" t="str">
        <f>VLOOKUP(B14,all_ports_list!$A$2:$I$88,5,FALSE)</f>
        <v>CHINA</v>
      </c>
      <c r="G14">
        <f>VLOOKUP(B14,all_ports_list!$A$2:$I$88,6,FALSE)</f>
        <v>102013</v>
      </c>
      <c r="H14">
        <f>VLOOKUP(B14,all_ports_list!$A$2:$I$88,7,FALSE)</f>
        <v>7436</v>
      </c>
      <c r="I14">
        <f>VLOOKUP(B14,all_ports_list!$A$2:$I$88,8,FALSE)</f>
        <v>29.991700000000002</v>
      </c>
    </row>
    <row r="15" spans="1:9" ht="18.75" thickBot="1">
      <c r="A15" s="2">
        <v>14</v>
      </c>
      <c r="B15" s="2" t="s">
        <v>267</v>
      </c>
      <c r="C15" s="2" t="s">
        <v>290</v>
      </c>
      <c r="D15" t="str">
        <f>VLOOKUP(B15,all_ports_list!$A$2:$I$88,3,FALSE)</f>
        <v>NJK</v>
      </c>
      <c r="E15">
        <f>VLOOKUP(B15,all_ports_list!$A$2:$I$88,4,FALSE)</f>
        <v>0</v>
      </c>
      <c r="F15" t="str">
        <f>VLOOKUP(B15,all_ports_list!$A$2:$I$88,5,FALSE)</f>
        <v>CHINA</v>
      </c>
      <c r="G15">
        <f>VLOOKUP(B15,all_ports_list!$A$2:$I$88,6,FALSE)</f>
        <v>100314</v>
      </c>
      <c r="H15">
        <f>VLOOKUP(B15,all_ports_list!$A$2:$I$88,7,FALSE)</f>
        <v>7349</v>
      </c>
      <c r="I15">
        <f>VLOOKUP(B15,all_ports_list!$A$2:$I$88,8,FALSE)</f>
        <v>31.0733</v>
      </c>
    </row>
    <row r="16" spans="1:9" ht="18.75" thickBot="1">
      <c r="A16" s="2">
        <v>15</v>
      </c>
      <c r="B16" s="2" t="s">
        <v>10</v>
      </c>
      <c r="C16" s="2" t="s">
        <v>291</v>
      </c>
      <c r="D16" t="str">
        <f>VLOOKUP(B16,all_ports_list!$A$2:$I$88,3,FALSE)</f>
        <v>SHK</v>
      </c>
      <c r="E16" t="str">
        <f>VLOOKUP(B16,all_ports_list!$A$2:$I$88,4,FALSE)</f>
        <v>CNSKU</v>
      </c>
      <c r="F16" t="str">
        <f>VLOOKUP(B16,all_ports_list!$A$2:$I$88,5,FALSE)</f>
        <v>CHINA</v>
      </c>
      <c r="G16">
        <f>VLOOKUP(B16,all_ports_list!$A$2:$I$88,6,FALSE)</f>
        <v>101616</v>
      </c>
      <c r="H16">
        <f>VLOOKUP(B16,all_ports_list!$A$2:$I$88,7,FALSE)</f>
        <v>7921</v>
      </c>
      <c r="I16">
        <f>VLOOKUP(B16,all_ports_list!$A$2:$I$88,8,FALSE)</f>
        <v>22.472000000000001</v>
      </c>
    </row>
    <row r="17" spans="1:9" ht="18.75" thickBot="1">
      <c r="A17" s="2">
        <v>16</v>
      </c>
      <c r="B17" s="2" t="s">
        <v>33</v>
      </c>
      <c r="C17" s="2" t="s">
        <v>292</v>
      </c>
      <c r="D17" t="str">
        <f>VLOOKUP(B17,all_ports_list!$A$2:$I$88,3,FALSE)</f>
        <v>QUN</v>
      </c>
      <c r="E17" t="str">
        <f>VLOOKUP(B17,all_ports_list!$A$2:$I$88,4,FALSE)</f>
        <v>CNTAO</v>
      </c>
      <c r="F17" t="str">
        <f>VLOOKUP(B17,all_ports_list!$A$2:$I$88,5,FALSE)</f>
        <v>CHINA</v>
      </c>
      <c r="G17">
        <f>VLOOKUP(B17,all_ports_list!$A$2:$I$88,6,FALSE)</f>
        <v>101473</v>
      </c>
      <c r="H17">
        <f>VLOOKUP(B17,all_ports_list!$A$2:$I$88,7,FALSE)</f>
        <v>6318</v>
      </c>
      <c r="I17">
        <f>VLOOKUP(B17,all_ports_list!$A$2:$I$88,8,FALSE)</f>
        <v>36.0822</v>
      </c>
    </row>
    <row r="18" spans="1:9" ht="18.75" thickBot="1">
      <c r="A18" s="2">
        <v>17</v>
      </c>
      <c r="B18" s="2" t="s">
        <v>36</v>
      </c>
      <c r="C18" s="2" t="s">
        <v>293</v>
      </c>
      <c r="D18" t="str">
        <f>VLOOKUP(B18,all_ports_list!$A$2:$I$88,3,FALSE)</f>
        <v>XIA</v>
      </c>
      <c r="E18" t="str">
        <f>VLOOKUP(B18,all_ports_list!$A$2:$I$88,4,FALSE)</f>
        <v>CNXMN</v>
      </c>
      <c r="F18" t="str">
        <f>VLOOKUP(B18,all_ports_list!$A$2:$I$88,5,FALSE)</f>
        <v>CHINA</v>
      </c>
      <c r="G18">
        <f>VLOOKUP(B18,all_ports_list!$A$2:$I$88,6,FALSE)</f>
        <v>101962</v>
      </c>
      <c r="H18">
        <f>VLOOKUP(B18,all_ports_list!$A$2:$I$88,7,FALSE)</f>
        <v>7885</v>
      </c>
      <c r="I18">
        <f>VLOOKUP(B18,all_ports_list!$A$2:$I$88,8,FALSE)</f>
        <v>24.496600000000001</v>
      </c>
    </row>
    <row r="19" spans="1:9" ht="18.75" thickBot="1">
      <c r="A19" s="2">
        <v>18</v>
      </c>
      <c r="B19" s="2" t="s">
        <v>39</v>
      </c>
      <c r="C19" s="2" t="s">
        <v>294</v>
      </c>
      <c r="D19" t="str">
        <f>VLOOKUP(B19,all_ports_list!$A$2:$I$88,3,FALSE)</f>
        <v>YNT</v>
      </c>
      <c r="E19" t="str">
        <f>VLOOKUP(B19,all_ports_list!$A$2:$I$88,4,FALSE)</f>
        <v>CNYTN</v>
      </c>
      <c r="F19" t="str">
        <f>VLOOKUP(B19,all_ports_list!$A$2:$I$88,5,FALSE)</f>
        <v>CHINA</v>
      </c>
      <c r="G19">
        <f>VLOOKUP(B19,all_ports_list!$A$2:$I$88,6,FALSE)</f>
        <v>101987</v>
      </c>
      <c r="H19">
        <f>VLOOKUP(B19,all_ports_list!$A$2:$I$88,7,FALSE)</f>
        <v>7884</v>
      </c>
      <c r="I19">
        <f>VLOOKUP(B19,all_ports_list!$A$2:$I$88,8,FALSE)</f>
        <v>22.56</v>
      </c>
    </row>
    <row r="20" spans="1:9" ht="18.75" thickBot="1">
      <c r="A20" s="2">
        <v>19</v>
      </c>
      <c r="B20" s="2" t="s">
        <v>42</v>
      </c>
      <c r="C20" s="2" t="s">
        <v>295</v>
      </c>
      <c r="D20" t="str">
        <f>VLOOKUP(B20,all_ports_list!$A$2:$I$88,3,FALSE)</f>
        <v>ZJG</v>
      </c>
      <c r="E20" t="str">
        <f>VLOOKUP(B20,all_ports_list!$A$2:$I$88,4,FALSE)</f>
        <v>CNZHA</v>
      </c>
      <c r="F20" t="str">
        <f>VLOOKUP(B20,all_ports_list!$A$2:$I$88,5,FALSE)</f>
        <v>CHINA</v>
      </c>
      <c r="G20">
        <f>VLOOKUP(B20,all_ports_list!$A$2:$I$88,6,FALSE)</f>
        <v>102016</v>
      </c>
      <c r="H20">
        <f>VLOOKUP(B20,all_ports_list!$A$2:$I$88,7,FALSE)</f>
        <v>7795</v>
      </c>
      <c r="I20">
        <f>VLOOKUP(B20,all_ports_list!$A$2:$I$88,8,FALSE)</f>
        <v>21.1707</v>
      </c>
    </row>
    <row r="21" spans="1:9" ht="18.75" thickBot="1">
      <c r="A21" s="2">
        <v>20</v>
      </c>
      <c r="B21" s="2" t="s">
        <v>44</v>
      </c>
      <c r="C21" s="2" t="s">
        <v>296</v>
      </c>
      <c r="D21" t="e">
        <f>VLOOKUP(B21,all_ports_list!$A$2:$I$88,3,FALSE)</f>
        <v>#N/A</v>
      </c>
      <c r="E21" t="e">
        <f>VLOOKUP(B21,all_ports_list!$A$2:$I$88,4,FALSE)</f>
        <v>#N/A</v>
      </c>
      <c r="F21" t="e">
        <f>VLOOKUP(B21,all_ports_list!$A$2:$I$88,5,FALSE)</f>
        <v>#N/A</v>
      </c>
      <c r="G21" t="e">
        <f>VLOOKUP(B21,all_ports_list!$A$2:$I$88,6,FALSE)</f>
        <v>#N/A</v>
      </c>
      <c r="H21" t="e">
        <f>VLOOKUP(B21,all_ports_list!$A$2:$I$88,7,FALSE)</f>
        <v>#N/A</v>
      </c>
      <c r="I21" t="e">
        <f>VLOOKUP(B21,all_ports_list!$A$2:$I$88,8,FALSE)</f>
        <v>#N/A</v>
      </c>
    </row>
    <row r="22" spans="1:9" ht="18.75" thickBot="1">
      <c r="A22" s="2">
        <v>21</v>
      </c>
      <c r="B22" s="2" t="s">
        <v>48</v>
      </c>
      <c r="C22" s="2" t="s">
        <v>297</v>
      </c>
      <c r="D22" t="str">
        <f>VLOOKUP(B22,all_ports_list!$A$2:$I$88,3,FALSE)</f>
        <v>GUY</v>
      </c>
      <c r="E22" t="str">
        <f>VLOOKUP(B22,all_ports_list!$A$2:$I$88,4,FALSE)</f>
        <v>ECGYE</v>
      </c>
      <c r="F22" t="str">
        <f>VLOOKUP(B22,all_ports_list!$A$2:$I$88,5,FALSE)</f>
        <v>ECUADOR</v>
      </c>
      <c r="G22">
        <f>VLOOKUP(B22,all_ports_list!$A$2:$I$88,6,FALSE)</f>
        <v>100616</v>
      </c>
      <c r="H22">
        <f>VLOOKUP(B22,all_ports_list!$A$2:$I$88,7,FALSE)</f>
        <v>4320</v>
      </c>
      <c r="I22">
        <f>VLOOKUP(B22,all_ports_list!$A$2:$I$88,8,FALSE)</f>
        <v>-2.2865000000000002</v>
      </c>
    </row>
    <row r="23" spans="1:9" ht="18.75" thickBot="1">
      <c r="A23" s="2">
        <v>22</v>
      </c>
      <c r="B23" s="2" t="s">
        <v>52</v>
      </c>
      <c r="C23" s="2" t="s">
        <v>298</v>
      </c>
      <c r="D23" t="str">
        <f>VLOOKUP(B23,all_ports_list!$A$2:$I$88,3,FALSE)</f>
        <v>SKH</v>
      </c>
      <c r="E23" t="str">
        <f>VLOOKUP(B23,all_ports_list!$A$2:$I$88,4,FALSE)</f>
        <v>EGSOK</v>
      </c>
      <c r="F23" t="str">
        <f>VLOOKUP(B23,all_ports_list!$A$2:$I$88,5,FALSE)</f>
        <v>EGYPT</v>
      </c>
      <c r="G23">
        <f>VLOOKUP(B23,all_ports_list!$A$2:$I$88,6,FALSE)</f>
        <v>101643</v>
      </c>
      <c r="H23">
        <f>VLOOKUP(B23,all_ports_list!$A$2:$I$88,7,FALSE)</f>
        <v>8813</v>
      </c>
      <c r="I23">
        <f>VLOOKUP(B23,all_ports_list!$A$2:$I$88,8,FALSE)</f>
        <v>29.645499999999998</v>
      </c>
    </row>
    <row r="24" spans="1:9" ht="18.75" thickBot="1">
      <c r="A24" s="2">
        <v>23</v>
      </c>
      <c r="B24" s="2" t="s">
        <v>299</v>
      </c>
      <c r="C24" s="2" t="s">
        <v>300</v>
      </c>
      <c r="D24" t="str">
        <f>VLOOKUP(B24,all_ports_list!$A$2:$I$88,3,FALSE)</f>
        <v>PQL</v>
      </c>
      <c r="E24" t="str">
        <f>VLOOKUP(B24,all_ports_list!$A$2:$I$88,4,FALSE)</f>
        <v>GTPRQ</v>
      </c>
      <c r="F24" t="str">
        <f>VLOOKUP(B24,all_ports_list!$A$2:$I$88,5,FALSE)</f>
        <v>GUATEMALA</v>
      </c>
      <c r="G24">
        <f>VLOOKUP(B24,all_ports_list!$A$2:$I$88,6,FALSE)</f>
        <v>101412</v>
      </c>
      <c r="H24">
        <f>VLOOKUP(B24,all_ports_list!$A$2:$I$88,7,FALSE)</f>
        <v>7250</v>
      </c>
      <c r="I24">
        <f>VLOOKUP(B24,all_ports_list!$A$2:$I$88,8,FALSE)</f>
        <v>13.9086</v>
      </c>
    </row>
    <row r="25" spans="1:9" ht="18.75" thickBot="1">
      <c r="A25" s="2">
        <v>24</v>
      </c>
      <c r="B25" s="2" t="s">
        <v>58</v>
      </c>
      <c r="C25" s="2" t="s">
        <v>301</v>
      </c>
      <c r="D25" t="str">
        <f>VLOOKUP(B25,all_ports_list!$A$2:$I$88,3,FALSE)</f>
        <v>HKG</v>
      </c>
      <c r="E25" t="str">
        <f>VLOOKUP(B25,all_ports_list!$A$2:$I$88,4,FALSE)</f>
        <v>HKHKG</v>
      </c>
      <c r="F25" t="str">
        <f>VLOOKUP(B25,all_ports_list!$A$2:$I$88,5,FALSE)</f>
        <v>CHINA</v>
      </c>
      <c r="G25">
        <f>VLOOKUP(B25,all_ports_list!$A$2:$I$88,6,FALSE)</f>
        <v>100656</v>
      </c>
      <c r="H25">
        <f>VLOOKUP(B25,all_ports_list!$A$2:$I$88,7,FALSE)</f>
        <v>7300</v>
      </c>
      <c r="I25">
        <f>VLOOKUP(B25,all_ports_list!$A$2:$I$88,8,FALSE)</f>
        <v>22.291599999999999</v>
      </c>
    </row>
    <row r="26" spans="1:9" ht="18.75" thickBot="1">
      <c r="A26" s="2">
        <v>25</v>
      </c>
      <c r="B26" s="2" t="s">
        <v>61</v>
      </c>
      <c r="C26" s="2" t="s">
        <v>302</v>
      </c>
      <c r="D26" t="str">
        <f>VLOOKUP(B26,all_ports_list!$A$2:$I$88,3,FALSE)</f>
        <v>BLA</v>
      </c>
      <c r="E26" t="str">
        <f>VLOOKUP(B26,all_ports_list!$A$2:$I$88,4,FALSE)</f>
        <v>IDBLW</v>
      </c>
      <c r="F26" t="str">
        <f>VLOOKUP(B26,all_ports_list!$A$2:$I$88,5,FALSE)</f>
        <v>INDONESIA</v>
      </c>
      <c r="G26">
        <f>VLOOKUP(B26,all_ports_list!$A$2:$I$88,6,FALSE)</f>
        <v>100176</v>
      </c>
      <c r="H26">
        <f>VLOOKUP(B26,all_ports_list!$A$2:$I$88,7,FALSE)</f>
        <v>5200</v>
      </c>
      <c r="I26">
        <f>VLOOKUP(B26,all_ports_list!$A$2:$I$88,8,FALSE)</f>
        <v>3.8031000000000001</v>
      </c>
    </row>
    <row r="27" spans="1:9" ht="18.75" thickBot="1">
      <c r="A27" s="2">
        <v>26</v>
      </c>
      <c r="B27" s="2" t="s">
        <v>303</v>
      </c>
      <c r="C27" s="2" t="s">
        <v>304</v>
      </c>
      <c r="D27" t="str">
        <f>VLOOKUP(B27,all_ports_list!$A$2:$I$88,3,FALSE)</f>
        <v>TJP</v>
      </c>
      <c r="E27" t="str">
        <f>VLOOKUP(B27,all_ports_list!$A$2:$I$88,4,FALSE)</f>
        <v>IDJKT</v>
      </c>
      <c r="F27" t="str">
        <f>VLOOKUP(B27,all_ports_list!$A$2:$I$88,5,FALSE)</f>
        <v>INDONESIA</v>
      </c>
      <c r="G27">
        <f>VLOOKUP(B27,all_ports_list!$A$2:$I$88,6,FALSE)</f>
        <v>101804</v>
      </c>
      <c r="H27">
        <f>VLOOKUP(B27,all_ports_list!$A$2:$I$88,7,FALSE)</f>
        <v>6315</v>
      </c>
      <c r="I27">
        <f>VLOOKUP(B27,all_ports_list!$A$2:$I$88,8,FALSE)</f>
        <v>-6.0715000000000003</v>
      </c>
    </row>
    <row r="28" spans="1:9" ht="18.75" thickBot="1">
      <c r="A28" s="2">
        <v>27</v>
      </c>
      <c r="B28" s="2" t="s">
        <v>67</v>
      </c>
      <c r="C28" s="2" t="s">
        <v>305</v>
      </c>
      <c r="D28" t="str">
        <f>VLOOKUP(B28,all_ports_list!$A$2:$I$88,3,FALSE)</f>
        <v>SEM</v>
      </c>
      <c r="E28" t="str">
        <f>VLOOKUP(B28,all_ports_list!$A$2:$I$88,4,FALSE)</f>
        <v>IDSRG</v>
      </c>
      <c r="F28" t="str">
        <f>VLOOKUP(B28,all_ports_list!$A$2:$I$88,5,FALSE)</f>
        <v>INDONESIA</v>
      </c>
      <c r="G28">
        <f>VLOOKUP(B28,all_ports_list!$A$2:$I$88,6,FALSE)</f>
        <v>101590</v>
      </c>
      <c r="H28">
        <f>VLOOKUP(B28,all_ports_list!$A$2:$I$88,7,FALSE)</f>
        <v>4576</v>
      </c>
      <c r="I28">
        <f>VLOOKUP(B28,all_ports_list!$A$2:$I$88,8,FALSE)</f>
        <v>-6.9330999999999996</v>
      </c>
    </row>
    <row r="29" spans="1:9" ht="18.75" thickBot="1">
      <c r="A29" s="2">
        <v>28</v>
      </c>
      <c r="B29" s="2" t="s">
        <v>70</v>
      </c>
      <c r="C29" s="2" t="s">
        <v>306</v>
      </c>
      <c r="D29" t="str">
        <f>VLOOKUP(B29,all_ports_list!$A$2:$I$88,3,FALSE)</f>
        <v>SRB</v>
      </c>
      <c r="E29" t="str">
        <f>VLOOKUP(B29,all_ports_list!$A$2:$I$88,4,FALSE)</f>
        <v>IDSUB</v>
      </c>
      <c r="F29" t="str">
        <f>VLOOKUP(B29,all_ports_list!$A$2:$I$88,5,FALSE)</f>
        <v>INDONESIA</v>
      </c>
      <c r="G29">
        <f>VLOOKUP(B29,all_ports_list!$A$2:$I$88,6,FALSE)</f>
        <v>101705</v>
      </c>
      <c r="H29">
        <f>VLOOKUP(B29,all_ports_list!$A$2:$I$88,7,FALSE)</f>
        <v>4422</v>
      </c>
      <c r="I29">
        <f>VLOOKUP(B29,all_ports_list!$A$2:$I$88,8,FALSE)</f>
        <v>-7.1905999999999999</v>
      </c>
    </row>
    <row r="30" spans="1:9" ht="18.75" thickBot="1">
      <c r="A30" s="2">
        <v>29</v>
      </c>
      <c r="B30" s="2" t="s">
        <v>67</v>
      </c>
      <c r="C30" s="2" t="s">
        <v>305</v>
      </c>
      <c r="D30" t="str">
        <f>VLOOKUP(B30,all_ports_list!$A$2:$I$88,3,FALSE)</f>
        <v>SEM</v>
      </c>
      <c r="E30" t="str">
        <f>VLOOKUP(B30,all_ports_list!$A$2:$I$88,4,FALSE)</f>
        <v>IDSRG</v>
      </c>
      <c r="F30" t="str">
        <f>VLOOKUP(B30,all_ports_list!$A$2:$I$88,5,FALSE)</f>
        <v>INDONESIA</v>
      </c>
      <c r="G30">
        <f>VLOOKUP(B30,all_ports_list!$A$2:$I$88,6,FALSE)</f>
        <v>101590</v>
      </c>
      <c r="H30">
        <f>VLOOKUP(B30,all_ports_list!$A$2:$I$88,7,FALSE)</f>
        <v>4576</v>
      </c>
      <c r="I30">
        <f>VLOOKUP(B30,all_ports_list!$A$2:$I$88,8,FALSE)</f>
        <v>-6.9330999999999996</v>
      </c>
    </row>
    <row r="31" spans="1:9" ht="18.75" thickBot="1">
      <c r="A31" s="2">
        <v>30</v>
      </c>
      <c r="B31" s="2" t="s">
        <v>73</v>
      </c>
      <c r="C31" s="2" t="s">
        <v>307</v>
      </c>
      <c r="D31" t="str">
        <f>VLOOKUP(B31,all_ports_list!$A$2:$I$88,3,FALSE)</f>
        <v>COC</v>
      </c>
      <c r="E31" t="str">
        <f>VLOOKUP(B31,all_ports_list!$A$2:$I$88,4,FALSE)</f>
        <v>INCOK</v>
      </c>
      <c r="F31" t="str">
        <f>VLOOKUP(B31,all_ports_list!$A$2:$I$88,5,FALSE)</f>
        <v>INDIA</v>
      </c>
      <c r="G31">
        <f>VLOOKUP(B31,all_ports_list!$A$2:$I$88,6,FALSE)</f>
        <v>100345</v>
      </c>
      <c r="H31">
        <f>VLOOKUP(B31,all_ports_list!$A$2:$I$88,7,FALSE)</f>
        <v>5615</v>
      </c>
      <c r="I31">
        <f>VLOOKUP(B31,all_ports_list!$A$2:$I$88,8,FALSE)</f>
        <v>9.9627999999999997</v>
      </c>
    </row>
    <row r="32" spans="1:9" ht="18.75" thickBot="1">
      <c r="A32" s="2">
        <v>31</v>
      </c>
      <c r="B32" s="2" t="s">
        <v>77</v>
      </c>
      <c r="C32" s="2" t="s">
        <v>308</v>
      </c>
      <c r="D32" t="str">
        <f>VLOOKUP(B32,all_ports_list!$A$2:$I$88,3,FALSE)</f>
        <v>KTTPL</v>
      </c>
      <c r="E32" t="str">
        <f>VLOOKUP(B32,all_ports_list!$A$2:$I$88,4,FALSE)</f>
        <v>INKAT</v>
      </c>
      <c r="F32" t="str">
        <f>VLOOKUP(B32,all_ports_list!$A$2:$I$88,5,FALSE)</f>
        <v>INDIA</v>
      </c>
      <c r="G32">
        <f>VLOOKUP(B32,all_ports_list!$A$2:$I$88,6,FALSE)</f>
        <v>100884</v>
      </c>
      <c r="H32">
        <f>VLOOKUP(B32,all_ports_list!$A$2:$I$88,7,FALSE)</f>
        <v>10645</v>
      </c>
      <c r="I32">
        <f>VLOOKUP(B32,all_ports_list!$A$2:$I$88,8,FALSE)</f>
        <v>13.2828</v>
      </c>
    </row>
    <row r="33" spans="1:9" ht="18.75" thickBot="1">
      <c r="A33" s="2">
        <v>32</v>
      </c>
      <c r="B33" s="2" t="s">
        <v>80</v>
      </c>
      <c r="C33" s="2" t="s">
        <v>309</v>
      </c>
      <c r="D33" t="str">
        <f>VLOOKUP(B33,all_ports_list!$A$2:$I$88,3,FALSE)</f>
        <v>CNI</v>
      </c>
      <c r="E33" t="str">
        <f>VLOOKUP(B33,all_ports_list!$A$2:$I$88,4,FALSE)</f>
        <v>INMAA</v>
      </c>
      <c r="F33" t="str">
        <f>VLOOKUP(B33,all_ports_list!$A$2:$I$88,5,FALSE)</f>
        <v>INDIA</v>
      </c>
      <c r="G33">
        <f>VLOOKUP(B33,all_ports_list!$A$2:$I$88,6,FALSE)</f>
        <v>100339</v>
      </c>
      <c r="H33">
        <f>VLOOKUP(B33,all_ports_list!$A$2:$I$88,7,FALSE)</f>
        <v>7259</v>
      </c>
      <c r="I33">
        <f>VLOOKUP(B33,all_ports_list!$A$2:$I$88,8,FALSE)</f>
        <v>13.103</v>
      </c>
    </row>
    <row r="34" spans="1:9" ht="18.75" thickBot="1">
      <c r="A34" s="2">
        <v>33</v>
      </c>
      <c r="B34" s="2" t="s">
        <v>83</v>
      </c>
      <c r="C34" s="2" t="s">
        <v>310</v>
      </c>
      <c r="D34" t="str">
        <f>VLOOKUP(B34,all_ports_list!$A$2:$I$88,3,FALSE)</f>
        <v>MUN</v>
      </c>
      <c r="E34" t="str">
        <f>VLOOKUP(B34,all_ports_list!$A$2:$I$88,4,FALSE)</f>
        <v>INMUN</v>
      </c>
      <c r="F34" t="str">
        <f>VLOOKUP(B34,all_ports_list!$A$2:$I$88,5,FALSE)</f>
        <v>INDIA</v>
      </c>
      <c r="G34">
        <f>VLOOKUP(B34,all_ports_list!$A$2:$I$88,6,FALSE)</f>
        <v>101139</v>
      </c>
      <c r="H34">
        <f>VLOOKUP(B34,all_ports_list!$A$2:$I$88,7,FALSE)</f>
        <v>7877</v>
      </c>
      <c r="I34">
        <f>VLOOKUP(B34,all_ports_list!$A$2:$I$88,8,FALSE)</f>
        <v>22.736000000000001</v>
      </c>
    </row>
    <row r="35" spans="1:9" ht="18.75" thickBot="1">
      <c r="A35" s="2">
        <v>34</v>
      </c>
      <c r="B35" s="2" t="s">
        <v>85</v>
      </c>
      <c r="C35" s="2" t="s">
        <v>311</v>
      </c>
      <c r="D35" t="str">
        <f>VLOOKUP(B35,all_ports_list!$A$2:$I$88,3,FALSE)</f>
        <v>NHA</v>
      </c>
      <c r="E35" t="str">
        <f>VLOOKUP(B35,all_ports_list!$A$2:$I$88,4,FALSE)</f>
        <v>INNSA</v>
      </c>
      <c r="F35" t="str">
        <f>VLOOKUP(B35,all_ports_list!$A$2:$I$88,5,FALSE)</f>
        <v>INDIA</v>
      </c>
      <c r="G35">
        <f>VLOOKUP(B35,all_ports_list!$A$2:$I$88,6,FALSE)</f>
        <v>101187</v>
      </c>
      <c r="H35">
        <f>VLOOKUP(B35,all_ports_list!$A$2:$I$88,7,FALSE)</f>
        <v>8023</v>
      </c>
      <c r="I35">
        <f>VLOOKUP(B35,all_ports_list!$A$2:$I$88,8,FALSE)</f>
        <v>18.956600000000002</v>
      </c>
    </row>
    <row r="36" spans="1:9" ht="18.75" thickBot="1">
      <c r="A36" s="2">
        <v>35</v>
      </c>
      <c r="B36" s="2" t="s">
        <v>88</v>
      </c>
      <c r="C36" s="2" t="s">
        <v>312</v>
      </c>
      <c r="D36" t="str">
        <f>VLOOKUP(B36,all_ports_list!$A$2:$I$88,3,FALSE)</f>
        <v>TUT</v>
      </c>
      <c r="E36" t="str">
        <f>VLOOKUP(B36,all_ports_list!$A$2:$I$88,4,FALSE)</f>
        <v>INTUT</v>
      </c>
      <c r="F36" t="str">
        <f>VLOOKUP(B36,all_ports_list!$A$2:$I$88,5,FALSE)</f>
        <v>INDIA</v>
      </c>
      <c r="G36">
        <f>VLOOKUP(B36,all_ports_list!$A$2:$I$88,6,FALSE)</f>
        <v>101869</v>
      </c>
      <c r="H36">
        <f>VLOOKUP(B36,all_ports_list!$A$2:$I$88,7,FALSE)</f>
        <v>6967</v>
      </c>
      <c r="I36">
        <f>VLOOKUP(B36,all_ports_list!$A$2:$I$88,8,FALSE)</f>
        <v>8.7430000000000003</v>
      </c>
    </row>
    <row r="37" spans="1:9" ht="18.75" thickBot="1">
      <c r="A37" s="2">
        <v>36</v>
      </c>
      <c r="B37" s="2" t="s">
        <v>91</v>
      </c>
      <c r="C37" s="2" t="s">
        <v>313</v>
      </c>
      <c r="D37" t="str">
        <f>VLOOKUP(B37,all_ports_list!$A$2:$I$88,3,FALSE)</f>
        <v>VIS</v>
      </c>
      <c r="E37" t="str">
        <f>VLOOKUP(B37,all_ports_list!$A$2:$I$88,4,FALSE)</f>
        <v>INVIZ</v>
      </c>
      <c r="F37" t="str">
        <f>VLOOKUP(B37,all_ports_list!$A$2:$I$88,5,FALSE)</f>
        <v>INDIA</v>
      </c>
      <c r="G37">
        <f>VLOOKUP(B37,all_ports_list!$A$2:$I$88,6,FALSE)</f>
        <v>101911</v>
      </c>
      <c r="H37">
        <f>VLOOKUP(B37,all_ports_list!$A$2:$I$88,7,FALSE)</f>
        <v>6331</v>
      </c>
      <c r="I37">
        <f>VLOOKUP(B37,all_ports_list!$A$2:$I$88,8,FALSE)</f>
        <v>17.686499999999999</v>
      </c>
    </row>
    <row r="38" spans="1:9" ht="18.75" thickBot="1">
      <c r="A38" s="2">
        <v>37</v>
      </c>
      <c r="B38" s="2" t="s">
        <v>94</v>
      </c>
      <c r="C38" s="2" t="s">
        <v>314</v>
      </c>
      <c r="D38" t="str">
        <f>VLOOKUP(B38,all_ports_list!$A$2:$I$88,3,FALSE)</f>
        <v>CHI</v>
      </c>
      <c r="E38" t="str">
        <f>VLOOKUP(B38,all_ports_list!$A$2:$I$88,4,FALSE)</f>
        <v>JPCHB</v>
      </c>
      <c r="F38" t="str">
        <f>VLOOKUP(B38,all_ports_list!$A$2:$I$88,5,FALSE)</f>
        <v>JAPAN</v>
      </c>
      <c r="G38">
        <f>VLOOKUP(B38,all_ports_list!$A$2:$I$88,6,FALSE)</f>
        <v>100309</v>
      </c>
      <c r="H38">
        <f>VLOOKUP(B38,all_ports_list!$A$2:$I$88,7,FALSE)</f>
        <v>7274</v>
      </c>
      <c r="I38">
        <f>VLOOKUP(B38,all_ports_list!$A$2:$I$88,8,FALSE)</f>
        <v>35.593800000000002</v>
      </c>
    </row>
    <row r="39" spans="1:9" ht="18.75" thickBot="1">
      <c r="A39" s="2">
        <v>38</v>
      </c>
      <c r="B39" s="2" t="s">
        <v>98</v>
      </c>
      <c r="C39" s="2" t="s">
        <v>315</v>
      </c>
      <c r="D39" t="str">
        <f>VLOOKUP(B39,all_ports_list!$A$2:$I$88,3,FALSE)</f>
        <v>FKY</v>
      </c>
      <c r="E39" t="str">
        <f>VLOOKUP(B39,all_ports_list!$A$2:$I$88,4,FALSE)</f>
        <v>JPFKY</v>
      </c>
      <c r="F39" t="str">
        <f>VLOOKUP(B39,all_ports_list!$A$2:$I$88,5,FALSE)</f>
        <v>JAPAN</v>
      </c>
      <c r="G39">
        <f>VLOOKUP(B39,all_ports_list!$A$2:$I$88,6,FALSE)</f>
        <v>100512</v>
      </c>
      <c r="H39">
        <f>VLOOKUP(B39,all_ports_list!$A$2:$I$88,7,FALSE)</f>
        <v>7391</v>
      </c>
      <c r="I39">
        <f>VLOOKUP(B39,all_ports_list!$A$2:$I$88,8,FALSE)</f>
        <v>34.4176</v>
      </c>
    </row>
    <row r="40" spans="1:9" ht="18.75" thickBot="1">
      <c r="A40" s="2">
        <v>39</v>
      </c>
      <c r="B40" s="2" t="s">
        <v>101</v>
      </c>
      <c r="C40" s="2" t="s">
        <v>316</v>
      </c>
      <c r="D40" t="str">
        <f>VLOOKUP(B40,all_ports_list!$A$2:$I$88,3,FALSE)</f>
        <v>HIR</v>
      </c>
      <c r="E40" t="str">
        <f>VLOOKUP(B40,all_ports_list!$A$2:$I$88,4,FALSE)</f>
        <v>JPHIJ</v>
      </c>
      <c r="F40" t="str">
        <f>VLOOKUP(B40,all_ports_list!$A$2:$I$88,5,FALSE)</f>
        <v>JAPAN</v>
      </c>
      <c r="G40">
        <f>VLOOKUP(B40,all_ports_list!$A$2:$I$88,6,FALSE)</f>
        <v>100651</v>
      </c>
      <c r="H40">
        <f>VLOOKUP(B40,all_ports_list!$A$2:$I$88,7,FALSE)</f>
        <v>5980</v>
      </c>
      <c r="I40">
        <f>VLOOKUP(B40,all_ports_list!$A$2:$I$88,8,FALSE)</f>
        <v>34.333500000000001</v>
      </c>
    </row>
    <row r="41" spans="1:9" ht="18.75" thickBot="1">
      <c r="A41" s="2">
        <v>40</v>
      </c>
      <c r="B41" s="2" t="s">
        <v>104</v>
      </c>
      <c r="C41" s="2" t="s">
        <v>317</v>
      </c>
      <c r="D41" t="str">
        <f>VLOOKUP(B41,all_ports_list!$A$2:$I$88,3,FALSE)</f>
        <v>HAAE</v>
      </c>
      <c r="E41" t="str">
        <f>VLOOKUP(B41,all_ports_list!$A$2:$I$88,4,FALSE)</f>
        <v>JPHKT</v>
      </c>
      <c r="F41" t="str">
        <f>VLOOKUP(B41,all_ports_list!$A$2:$I$88,5,FALSE)</f>
        <v>JAPAN</v>
      </c>
      <c r="G41">
        <f>VLOOKUP(B41,all_ports_list!$A$2:$I$88,6,FALSE)</f>
        <v>100621</v>
      </c>
      <c r="H41">
        <f>VLOOKUP(B41,all_ports_list!$A$2:$I$88,7,FALSE)</f>
        <v>5936</v>
      </c>
      <c r="I41">
        <f>VLOOKUP(B41,all_ports_list!$A$2:$I$88,8,FALSE)</f>
        <v>33.619</v>
      </c>
    </row>
    <row r="42" spans="1:9" ht="18.75" thickBot="1">
      <c r="A42" s="2">
        <v>41</v>
      </c>
      <c r="B42" s="2" t="s">
        <v>318</v>
      </c>
      <c r="C42" s="2" t="s">
        <v>319</v>
      </c>
      <c r="D42" t="str">
        <f>VLOOKUP(B42,all_ports_list!$A$2:$I$88,3,FALSE)</f>
        <v>KAW</v>
      </c>
      <c r="E42" t="str">
        <f>VLOOKUP(B42,all_ports_list!$A$2:$I$88,4,FALSE)</f>
        <v>JPKWS</v>
      </c>
      <c r="F42" t="str">
        <f>VLOOKUP(B42,all_ports_list!$A$2:$I$88,5,FALSE)</f>
        <v>JAPAN</v>
      </c>
      <c r="G42">
        <f>VLOOKUP(B42,all_ports_list!$A$2:$I$88,6,FALSE)</f>
        <v>100796</v>
      </c>
      <c r="H42">
        <f>VLOOKUP(B42,all_ports_list!$A$2:$I$88,7,FALSE)</f>
        <v>6319</v>
      </c>
      <c r="I42">
        <f>VLOOKUP(B42,all_ports_list!$A$2:$I$88,8,FALSE)</f>
        <v>35.490099999999998</v>
      </c>
    </row>
    <row r="43" spans="1:9" ht="18.75" thickBot="1">
      <c r="A43" s="2">
        <v>42</v>
      </c>
      <c r="B43" s="2" t="s">
        <v>108</v>
      </c>
      <c r="C43" s="2" t="s">
        <v>320</v>
      </c>
      <c r="D43" t="str">
        <f>VLOOKUP(B43,all_ports_list!$A$2:$I$88,3,FALSE)</f>
        <v>MIZ</v>
      </c>
      <c r="E43" t="str">
        <f>VLOOKUP(B43,all_ports_list!$A$2:$I$88,4,FALSE)</f>
        <v>JPMIZ</v>
      </c>
      <c r="F43" t="str">
        <f>VLOOKUP(B43,all_ports_list!$A$2:$I$88,5,FALSE)</f>
        <v>JAPAN</v>
      </c>
      <c r="G43">
        <f>VLOOKUP(B43,all_ports_list!$A$2:$I$88,6,FALSE)</f>
        <v>101061</v>
      </c>
      <c r="H43">
        <f>VLOOKUP(B43,all_ports_list!$A$2:$I$88,7,FALSE)</f>
        <v>4349</v>
      </c>
      <c r="I43">
        <f>VLOOKUP(B43,all_ports_list!$A$2:$I$88,8,FALSE)</f>
        <v>34.464399999999998</v>
      </c>
    </row>
    <row r="44" spans="1:9" ht="18.75" thickBot="1">
      <c r="A44" s="2">
        <v>43</v>
      </c>
      <c r="B44" s="2" t="s">
        <v>111</v>
      </c>
      <c r="C44" s="2" t="s">
        <v>321</v>
      </c>
      <c r="D44" t="str">
        <f>VLOOKUP(B44,all_ports_list!$A$2:$I$88,3,FALSE)</f>
        <v>MOJ</v>
      </c>
      <c r="E44" t="str">
        <f>VLOOKUP(B44,all_ports_list!$A$2:$I$88,4,FALSE)</f>
        <v>JPMOJ</v>
      </c>
      <c r="F44" t="str">
        <f>VLOOKUP(B44,all_ports_list!$A$2:$I$88,5,FALSE)</f>
        <v>JAPAN</v>
      </c>
      <c r="G44">
        <f>VLOOKUP(B44,all_ports_list!$A$2:$I$88,6,FALSE)</f>
        <v>101086</v>
      </c>
      <c r="H44">
        <f>VLOOKUP(B44,all_ports_list!$A$2:$I$88,7,FALSE)</f>
        <v>4985</v>
      </c>
      <c r="I44">
        <f>VLOOKUP(B44,all_ports_list!$A$2:$I$88,8,FALSE)</f>
        <v>33.945</v>
      </c>
    </row>
    <row r="45" spans="1:9" ht="18.75" thickBot="1">
      <c r="A45" s="2">
        <v>44</v>
      </c>
      <c r="B45" s="2" t="s">
        <v>114</v>
      </c>
      <c r="C45" s="2" t="s">
        <v>322</v>
      </c>
      <c r="D45" t="str">
        <f>VLOOKUP(B45,all_ports_list!$A$2:$I$88,3,FALSE)</f>
        <v>NAG</v>
      </c>
      <c r="E45" t="str">
        <f>VLOOKUP(B45,all_ports_list!$A$2:$I$88,4,FALSE)</f>
        <v>JPNGO</v>
      </c>
      <c r="F45" t="str">
        <f>VLOOKUP(B45,all_ports_list!$A$2:$I$88,5,FALSE)</f>
        <v>JAPAN</v>
      </c>
      <c r="G45">
        <f>VLOOKUP(B45,all_ports_list!$A$2:$I$88,6,FALSE)</f>
        <v>101158</v>
      </c>
      <c r="H45">
        <f>VLOOKUP(B45,all_ports_list!$A$2:$I$88,7,FALSE)</f>
        <v>6078</v>
      </c>
      <c r="I45">
        <f>VLOOKUP(B45,all_ports_list!$A$2:$I$88,8,FALSE)</f>
        <v>35.023299999999999</v>
      </c>
    </row>
    <row r="46" spans="1:9" ht="18.75" thickBot="1">
      <c r="A46" s="2">
        <v>45</v>
      </c>
      <c r="B46" s="2" t="s">
        <v>117</v>
      </c>
      <c r="C46" s="2" t="s">
        <v>323</v>
      </c>
      <c r="D46" t="str">
        <f>VLOOKUP(B46,all_ports_list!$A$2:$I$88,3,FALSE)</f>
        <v>OSA</v>
      </c>
      <c r="E46" t="str">
        <f>VLOOKUP(B46,all_ports_list!$A$2:$I$88,4,FALSE)</f>
        <v>JPOSA</v>
      </c>
      <c r="F46" t="str">
        <f>VLOOKUP(B46,all_ports_list!$A$2:$I$88,5,FALSE)</f>
        <v>JAPAN</v>
      </c>
      <c r="G46">
        <f>VLOOKUP(B46,all_ports_list!$A$2:$I$88,6,FALSE)</f>
        <v>101266</v>
      </c>
      <c r="H46">
        <f>VLOOKUP(B46,all_ports_list!$A$2:$I$88,7,FALSE)</f>
        <v>6333</v>
      </c>
      <c r="I46">
        <f>VLOOKUP(B46,all_ports_list!$A$2:$I$88,8,FALSE)</f>
        <v>34.622900000000001</v>
      </c>
    </row>
    <row r="47" spans="1:9" ht="18.75" thickBot="1">
      <c r="A47" s="2">
        <v>46</v>
      </c>
      <c r="B47" s="2" t="s">
        <v>120</v>
      </c>
      <c r="C47" s="2" t="s">
        <v>324</v>
      </c>
      <c r="D47" t="str">
        <f>VLOOKUP(B47,all_ports_list!$A$2:$I$88,3,FALSE)</f>
        <v>SHM</v>
      </c>
      <c r="E47" t="str">
        <f>VLOOKUP(B47,all_ports_list!$A$2:$I$88,4,FALSE)</f>
        <v>JPSMZ</v>
      </c>
      <c r="F47" t="str">
        <f>VLOOKUP(B47,all_ports_list!$A$2:$I$88,5,FALSE)</f>
        <v>JAPAN</v>
      </c>
      <c r="G47">
        <f>VLOOKUP(B47,all_ports_list!$A$2:$I$88,6,FALSE)</f>
        <v>101618</v>
      </c>
      <c r="H47">
        <f>VLOOKUP(B47,all_ports_list!$A$2:$I$88,7,FALSE)</f>
        <v>6484</v>
      </c>
      <c r="I47">
        <f>VLOOKUP(B47,all_ports_list!$A$2:$I$88,8,FALSE)</f>
        <v>35.03</v>
      </c>
    </row>
    <row r="48" spans="1:9" ht="18.75" thickBot="1">
      <c r="A48" s="2">
        <v>47</v>
      </c>
      <c r="B48" s="2" t="s">
        <v>122</v>
      </c>
      <c r="C48" s="2" t="s">
        <v>325</v>
      </c>
      <c r="D48" t="str">
        <f>VLOOKUP(B48,all_ports_list!$A$2:$I$88,3,FALSE)</f>
        <v>TOK</v>
      </c>
      <c r="E48" t="str">
        <f>VLOOKUP(B48,all_ports_list!$A$2:$I$88,4,FALSE)</f>
        <v>JPTYO</v>
      </c>
      <c r="F48" t="str">
        <f>VLOOKUP(B48,all_ports_list!$A$2:$I$88,5,FALSE)</f>
        <v>JAPAN</v>
      </c>
      <c r="G48">
        <f>VLOOKUP(B48,all_ports_list!$A$2:$I$88,6,FALSE)</f>
        <v>101833</v>
      </c>
      <c r="H48">
        <f>VLOOKUP(B48,all_ports_list!$A$2:$I$88,7,FALSE)</f>
        <v>6908</v>
      </c>
      <c r="I48">
        <f>VLOOKUP(B48,all_ports_list!$A$2:$I$88,8,FALSE)</f>
        <v>35.578400000000002</v>
      </c>
    </row>
    <row r="49" spans="1:9" ht="18.75" thickBot="1">
      <c r="A49" s="2">
        <v>48</v>
      </c>
      <c r="B49" s="2" t="s">
        <v>126</v>
      </c>
      <c r="C49" s="2" t="s">
        <v>326</v>
      </c>
      <c r="D49" t="str">
        <f>VLOOKUP(B49,all_ports_list!$A$2:$I$88,3,FALSE)</f>
        <v>KOB</v>
      </c>
      <c r="E49" t="str">
        <f>VLOOKUP(B49,all_ports_list!$A$2:$I$88,4,FALSE)</f>
        <v>JPUKB</v>
      </c>
      <c r="F49" t="str">
        <f>VLOOKUP(B49,all_ports_list!$A$2:$I$88,5,FALSE)</f>
        <v>JAPAN</v>
      </c>
      <c r="G49">
        <f>VLOOKUP(B49,all_ports_list!$A$2:$I$88,6,FALSE)</f>
        <v>100854</v>
      </c>
      <c r="H49">
        <f>VLOOKUP(B49,all_ports_list!$A$2:$I$88,7,FALSE)</f>
        <v>6279</v>
      </c>
      <c r="I49">
        <f>VLOOKUP(B49,all_ports_list!$A$2:$I$88,8,FALSE)</f>
        <v>34.643300000000004</v>
      </c>
    </row>
    <row r="50" spans="1:9" ht="18.75" thickBot="1">
      <c r="A50" s="2">
        <v>49</v>
      </c>
      <c r="B50" s="2" t="s">
        <v>327</v>
      </c>
      <c r="C50" s="2" t="s">
        <v>328</v>
      </c>
      <c r="D50" t="str">
        <f>VLOOKUP(B50,all_ports_list!$A$2:$I$88,3,FALSE)</f>
        <v>YKK</v>
      </c>
      <c r="E50" t="str">
        <f>VLOOKUP(B50,all_ports_list!$A$2:$I$88,4,FALSE)</f>
        <v>JPYKK</v>
      </c>
      <c r="F50" t="str">
        <f>VLOOKUP(B50,all_ports_list!$A$2:$I$88,5,FALSE)</f>
        <v>JAPAN</v>
      </c>
      <c r="G50">
        <f>VLOOKUP(B50,all_ports_list!$A$2:$I$88,6,FALSE)</f>
        <v>101982</v>
      </c>
      <c r="H50">
        <f>VLOOKUP(B50,all_ports_list!$A$2:$I$88,7,FALSE)</f>
        <v>6350</v>
      </c>
      <c r="I50">
        <f>VLOOKUP(B50,all_ports_list!$A$2:$I$88,8,FALSE)</f>
        <v>34.965699999999998</v>
      </c>
    </row>
    <row r="51" spans="1:9" ht="18.75" thickBot="1">
      <c r="A51" s="2">
        <v>50</v>
      </c>
      <c r="B51" s="2" t="s">
        <v>131</v>
      </c>
      <c r="C51" s="2" t="s">
        <v>329</v>
      </c>
      <c r="D51" t="str">
        <f>VLOOKUP(B51,all_ports_list!$A$2:$I$88,3,FALSE)</f>
        <v>YOK</v>
      </c>
      <c r="E51" t="str">
        <f>VLOOKUP(B51,all_ports_list!$A$2:$I$88,4,FALSE)</f>
        <v>JPYOK</v>
      </c>
      <c r="F51" t="str">
        <f>VLOOKUP(B51,all_ports_list!$A$2:$I$88,5,FALSE)</f>
        <v>JAPAN</v>
      </c>
      <c r="G51">
        <f>VLOOKUP(B51,all_ports_list!$A$2:$I$88,6,FALSE)</f>
        <v>101989</v>
      </c>
      <c r="H51">
        <f>VLOOKUP(B51,all_ports_list!$A$2:$I$88,7,FALSE)</f>
        <v>4421</v>
      </c>
      <c r="I51">
        <f>VLOOKUP(B51,all_ports_list!$A$2:$I$88,8,FALSE)</f>
        <v>35.436999999999998</v>
      </c>
    </row>
    <row r="52" spans="1:9" ht="18.75" thickBot="1">
      <c r="A52" s="2">
        <v>51</v>
      </c>
      <c r="B52" s="2" t="s">
        <v>134</v>
      </c>
      <c r="C52" s="2" t="s">
        <v>330</v>
      </c>
      <c r="D52" t="str">
        <f>VLOOKUP(B52,all_ports_list!$A$2:$I$88,3,FALSE)</f>
        <v>SHNKU</v>
      </c>
      <c r="E52" t="str">
        <f>VLOOKUP(B52,all_ports_list!$A$2:$I$88,4,FALSE)</f>
        <v>KHSIH</v>
      </c>
      <c r="F52" t="str">
        <f>VLOOKUP(B52,all_ports_list!$A$2:$I$88,5,FALSE)</f>
        <v>CAMBODIA</v>
      </c>
      <c r="G52">
        <f>VLOOKUP(B52,all_ports_list!$A$2:$I$88,6,FALSE)</f>
        <v>101620</v>
      </c>
      <c r="H52">
        <f>VLOOKUP(B52,all_ports_list!$A$2:$I$88,7,FALSE)</f>
        <v>8148</v>
      </c>
      <c r="I52">
        <f>VLOOKUP(B52,all_ports_list!$A$2:$I$88,8,FALSE)</f>
        <v>10.6533</v>
      </c>
    </row>
    <row r="53" spans="1:9" ht="18.75" thickBot="1">
      <c r="A53" s="2">
        <v>52</v>
      </c>
      <c r="B53" s="2" t="s">
        <v>138</v>
      </c>
      <c r="C53" s="2" t="s">
        <v>331</v>
      </c>
      <c r="D53" t="str">
        <f>VLOOKUP(B53,all_ports_list!$A$2:$I$88,3,FALSE)</f>
        <v>INC</v>
      </c>
      <c r="E53" t="str">
        <f>VLOOKUP(B53,all_ports_list!$A$2:$I$88,4,FALSE)</f>
        <v>KRINC</v>
      </c>
      <c r="F53" t="str">
        <f>VLOOKUP(B53,all_ports_list!$A$2:$I$88,5,FALSE)</f>
        <v>KOREA, REPUBLIC OF</v>
      </c>
      <c r="G53">
        <f>VLOOKUP(B53,all_ports_list!$A$2:$I$88,6,FALSE)</f>
        <v>100725</v>
      </c>
      <c r="H53">
        <f>VLOOKUP(B53,all_ports_list!$A$2:$I$88,7,FALSE)</f>
        <v>7405</v>
      </c>
      <c r="I53">
        <f>VLOOKUP(B53,all_ports_list!$A$2:$I$88,8,FALSE)</f>
        <v>37.423000000000002</v>
      </c>
    </row>
    <row r="54" spans="1:9" ht="18.75" thickBot="1">
      <c r="A54" s="2">
        <v>53</v>
      </c>
      <c r="B54" s="2" t="s">
        <v>142</v>
      </c>
      <c r="C54" s="2" t="s">
        <v>332</v>
      </c>
      <c r="D54" t="str">
        <f>VLOOKUP(B54,all_ports_list!$A$2:$I$88,3,FALSE)</f>
        <v>BUS</v>
      </c>
      <c r="E54" t="str">
        <f>VLOOKUP(B54,all_ports_list!$A$2:$I$88,4,FALSE)</f>
        <v>KRPUS</v>
      </c>
      <c r="F54" t="str">
        <f>VLOOKUP(B54,all_ports_list!$A$2:$I$88,5,FALSE)</f>
        <v>KOREA, REPUBLIC OF</v>
      </c>
      <c r="G54">
        <f>VLOOKUP(B54,all_ports_list!$A$2:$I$88,6,FALSE)</f>
        <v>100252</v>
      </c>
      <c r="H54">
        <f>VLOOKUP(B54,all_ports_list!$A$2:$I$88,7,FALSE)</f>
        <v>4518</v>
      </c>
      <c r="I54">
        <f>VLOOKUP(B54,all_ports_list!$A$2:$I$88,8,FALSE)</f>
        <v>35.107100000000003</v>
      </c>
    </row>
    <row r="55" spans="1:9" ht="18.75" thickBot="1">
      <c r="A55" s="2">
        <v>54</v>
      </c>
      <c r="B55" s="2" t="s">
        <v>145</v>
      </c>
      <c r="C55" s="2" t="s">
        <v>333</v>
      </c>
      <c r="D55" t="str">
        <f>VLOOKUP(B55,all_ports_list!$A$2:$I$88,3,FALSE)</f>
        <v>ULN</v>
      </c>
      <c r="E55" t="str">
        <f>VLOOKUP(B55,all_ports_list!$A$2:$I$88,4,FALSE)</f>
        <v>KRUSN</v>
      </c>
      <c r="F55" t="str">
        <f>VLOOKUP(B55,all_ports_list!$A$2:$I$88,5,FALSE)</f>
        <v>KOREA, REPUBLIC OF</v>
      </c>
      <c r="G55">
        <f>VLOOKUP(B55,all_ports_list!$A$2:$I$88,6,FALSE)</f>
        <v>101882</v>
      </c>
      <c r="H55">
        <f>VLOOKUP(B55,all_ports_list!$A$2:$I$88,7,FALSE)</f>
        <v>6784</v>
      </c>
      <c r="I55">
        <f>VLOOKUP(B55,all_ports_list!$A$2:$I$88,8,FALSE)</f>
        <v>35.457099999999997</v>
      </c>
    </row>
    <row r="56" spans="1:9" ht="18.75" thickBot="1">
      <c r="A56" s="2">
        <v>55</v>
      </c>
      <c r="B56" s="2" t="s">
        <v>148</v>
      </c>
      <c r="C56" s="2" t="s">
        <v>334</v>
      </c>
      <c r="D56" t="str">
        <f>VLOOKUP(B56,all_ports_list!$A$2:$I$88,3,FALSE)</f>
        <v>CMB</v>
      </c>
      <c r="E56" t="str">
        <f>VLOOKUP(B56,all_ports_list!$A$2:$I$88,4,FALSE)</f>
        <v>LKCMB</v>
      </c>
      <c r="F56" t="str">
        <f>VLOOKUP(B56,all_ports_list!$A$2:$I$88,5,FALSE)</f>
        <v>SRI LANKA</v>
      </c>
      <c r="G56">
        <f>VLOOKUP(B56,all_ports_list!$A$2:$I$88,6,FALSE)</f>
        <v>100334</v>
      </c>
      <c r="H56">
        <f>VLOOKUP(B56,all_ports_list!$A$2:$I$88,7,FALSE)</f>
        <v>6824</v>
      </c>
      <c r="I56">
        <f>VLOOKUP(B56,all_ports_list!$A$2:$I$88,8,FALSE)</f>
        <v>6.9627999999999997</v>
      </c>
    </row>
    <row r="57" spans="1:9" ht="18.75" thickBot="1">
      <c r="A57" s="2">
        <v>56</v>
      </c>
      <c r="B57" s="2" t="s">
        <v>152</v>
      </c>
      <c r="C57" s="2" t="s">
        <v>335</v>
      </c>
      <c r="D57" t="str">
        <f>VLOOKUP(B57,all_ports_list!$A$2:$I$88,3,FALSE)</f>
        <v>ENS</v>
      </c>
      <c r="E57" t="str">
        <f>VLOOKUP(B57,all_ports_list!$A$2:$I$88,4,FALSE)</f>
        <v>MXESE</v>
      </c>
      <c r="F57" t="str">
        <f>VLOOKUP(B57,all_ports_list!$A$2:$I$88,5,FALSE)</f>
        <v>MEXICO</v>
      </c>
      <c r="G57">
        <f>VLOOKUP(B57,all_ports_list!$A$2:$I$88,6,FALSE)</f>
        <v>100481</v>
      </c>
      <c r="H57">
        <f>VLOOKUP(B57,all_ports_list!$A$2:$I$88,7,FALSE)</f>
        <v>5854</v>
      </c>
      <c r="I57">
        <f>VLOOKUP(B57,all_ports_list!$A$2:$I$88,8,FALSE)</f>
        <v>31.8307</v>
      </c>
    </row>
    <row r="58" spans="1:9" ht="18.75" thickBot="1">
      <c r="A58" s="2">
        <v>57</v>
      </c>
      <c r="B58" s="2" t="s">
        <v>156</v>
      </c>
      <c r="C58" s="2" t="s">
        <v>336</v>
      </c>
      <c r="D58" t="str">
        <f>VLOOKUP(B58,all_ports_list!$A$2:$I$88,3,FALSE)</f>
        <v>LAZ</v>
      </c>
      <c r="E58" t="str">
        <f>VLOOKUP(B58,all_ports_list!$A$2:$I$88,4,FALSE)</f>
        <v>MXLZC</v>
      </c>
      <c r="F58" t="str">
        <f>VLOOKUP(B58,all_ports_list!$A$2:$I$88,5,FALSE)</f>
        <v>MEXICO</v>
      </c>
      <c r="G58">
        <f>VLOOKUP(B58,all_ports_list!$A$2:$I$88,6,FALSE)</f>
        <v>100918</v>
      </c>
      <c r="H58">
        <f>VLOOKUP(B58,all_ports_list!$A$2:$I$88,7,FALSE)</f>
        <v>7428</v>
      </c>
      <c r="I58">
        <f>VLOOKUP(B58,all_ports_list!$A$2:$I$88,8,FALSE)</f>
        <v>17.923300000000001</v>
      </c>
    </row>
    <row r="59" spans="1:9" ht="18.75" thickBot="1">
      <c r="A59" s="2">
        <v>58</v>
      </c>
      <c r="B59" s="2" t="s">
        <v>159</v>
      </c>
      <c r="C59" s="2" t="s">
        <v>337</v>
      </c>
      <c r="D59" t="str">
        <f>VLOOKUP(B59,all_ports_list!$A$2:$I$88,3,FALSE)</f>
        <v>MAN</v>
      </c>
      <c r="E59" t="str">
        <f>VLOOKUP(B59,all_ports_list!$A$2:$I$88,4,FALSE)</f>
        <v>MXZLO</v>
      </c>
      <c r="F59" t="str">
        <f>VLOOKUP(B59,all_ports_list!$A$2:$I$88,5,FALSE)</f>
        <v>MEXICO</v>
      </c>
      <c r="G59">
        <f>VLOOKUP(B59,all_ports_list!$A$2:$I$88,6,FALSE)</f>
        <v>101002</v>
      </c>
      <c r="H59">
        <f>VLOOKUP(B59,all_ports_list!$A$2:$I$88,7,FALSE)</f>
        <v>4379</v>
      </c>
      <c r="I59">
        <f>VLOOKUP(B59,all_ports_list!$A$2:$I$88,8,FALSE)</f>
        <v>19.0688</v>
      </c>
    </row>
    <row r="60" spans="1:9" ht="36.75" thickBot="1">
      <c r="A60" s="2">
        <v>59</v>
      </c>
      <c r="B60" s="2" t="s">
        <v>161</v>
      </c>
      <c r="C60" s="2" t="s">
        <v>338</v>
      </c>
      <c r="D60" t="e">
        <f>VLOOKUP(B60,all_ports_list!$A$2:$I$88,3,FALSE)</f>
        <v>#N/A</v>
      </c>
      <c r="E60" t="e">
        <f>VLOOKUP(B60,all_ports_list!$A$2:$I$88,4,FALSE)</f>
        <v>#N/A</v>
      </c>
      <c r="F60" t="e">
        <f>VLOOKUP(B60,all_ports_list!$A$2:$I$88,5,FALSE)</f>
        <v>#N/A</v>
      </c>
      <c r="G60" t="e">
        <f>VLOOKUP(B60,all_ports_list!$A$2:$I$88,6,FALSE)</f>
        <v>#N/A</v>
      </c>
      <c r="H60" t="e">
        <f>VLOOKUP(B60,all_ports_list!$A$2:$I$88,7,FALSE)</f>
        <v>#N/A</v>
      </c>
      <c r="I60" t="e">
        <f>VLOOKUP(B60,all_ports_list!$A$2:$I$88,8,FALSE)</f>
        <v>#N/A</v>
      </c>
    </row>
    <row r="61" spans="1:9" ht="18.75" thickBot="1">
      <c r="A61" s="2">
        <v>60</v>
      </c>
      <c r="B61" s="2" t="s">
        <v>164</v>
      </c>
      <c r="C61" s="2" t="s">
        <v>339</v>
      </c>
      <c r="D61" t="str">
        <f>VLOOKUP(B61,all_ports_list!$A$2:$I$88,3,FALSE)</f>
        <v>PSI</v>
      </c>
      <c r="E61" t="str">
        <f>VLOOKUP(B61,all_ports_list!$A$2:$I$88,4,FALSE)</f>
        <v>MYPGU</v>
      </c>
      <c r="F61" t="str">
        <f>VLOOKUP(B61,all_ports_list!$A$2:$I$88,5,FALSE)</f>
        <v>MALAYSIA</v>
      </c>
      <c r="G61">
        <f>VLOOKUP(B61,all_ports_list!$A$2:$I$88,6,FALSE)</f>
        <v>101432</v>
      </c>
      <c r="H61">
        <f>VLOOKUP(B61,all_ports_list!$A$2:$I$88,7,FALSE)</f>
        <v>7178</v>
      </c>
      <c r="I61">
        <f>VLOOKUP(B61,all_ports_list!$A$2:$I$88,8,FALSE)</f>
        <v>1.4287000000000001</v>
      </c>
    </row>
    <row r="62" spans="1:9" ht="18.75" thickBot="1">
      <c r="A62" s="2">
        <v>61</v>
      </c>
      <c r="B62" s="2" t="s">
        <v>166</v>
      </c>
      <c r="C62" s="2" t="s">
        <v>340</v>
      </c>
      <c r="D62" t="e">
        <f>VLOOKUP(B62,all_ports_list!$A$2:$I$88,3,FALSE)</f>
        <v>#N/A</v>
      </c>
      <c r="E62" t="e">
        <f>VLOOKUP(B62,all_ports_list!$A$2:$I$88,4,FALSE)</f>
        <v>#N/A</v>
      </c>
      <c r="F62" t="e">
        <f>VLOOKUP(B62,all_ports_list!$A$2:$I$88,5,FALSE)</f>
        <v>#N/A</v>
      </c>
      <c r="G62" t="e">
        <f>VLOOKUP(B62,all_ports_list!$A$2:$I$88,6,FALSE)</f>
        <v>#N/A</v>
      </c>
      <c r="H62" t="e">
        <f>VLOOKUP(B62,all_ports_list!$A$2:$I$88,7,FALSE)</f>
        <v>#N/A</v>
      </c>
      <c r="I62" t="e">
        <f>VLOOKUP(B62,all_ports_list!$A$2:$I$88,8,FALSE)</f>
        <v>#N/A</v>
      </c>
    </row>
    <row r="63" spans="1:9" ht="18.75" thickBot="1">
      <c r="A63" s="2">
        <v>62</v>
      </c>
      <c r="B63" s="2" t="s">
        <v>166</v>
      </c>
      <c r="C63" s="2" t="s">
        <v>340</v>
      </c>
      <c r="D63" t="e">
        <f>VLOOKUP(B63,all_ports_list!$A$2:$I$88,3,FALSE)</f>
        <v>#N/A</v>
      </c>
      <c r="E63" t="e">
        <f>VLOOKUP(B63,all_ports_list!$A$2:$I$88,4,FALSE)</f>
        <v>#N/A</v>
      </c>
      <c r="F63" t="e">
        <f>VLOOKUP(B63,all_ports_list!$A$2:$I$88,5,FALSE)</f>
        <v>#N/A</v>
      </c>
      <c r="G63" t="e">
        <f>VLOOKUP(B63,all_ports_list!$A$2:$I$88,6,FALSE)</f>
        <v>#N/A</v>
      </c>
      <c r="H63" t="e">
        <f>VLOOKUP(B63,all_ports_list!$A$2:$I$88,7,FALSE)</f>
        <v>#N/A</v>
      </c>
      <c r="I63" t="e">
        <f>VLOOKUP(B63,all_ports_list!$A$2:$I$88,8,FALSE)</f>
        <v>#N/A</v>
      </c>
    </row>
    <row r="64" spans="1:9" ht="18.75" thickBot="1">
      <c r="A64" s="2">
        <v>63</v>
      </c>
      <c r="B64" s="2" t="s">
        <v>169</v>
      </c>
      <c r="C64" s="2" t="s">
        <v>341</v>
      </c>
      <c r="D64" t="str">
        <f>VLOOKUP(B64,all_ports_list!$A$2:$I$88,3,FALSE)</f>
        <v>CRI</v>
      </c>
      <c r="E64" t="str">
        <f>VLOOKUP(B64,all_ports_list!$A$2:$I$88,4,FALSE)</f>
        <v>PACTB</v>
      </c>
      <c r="F64" t="str">
        <f>VLOOKUP(B64,all_ports_list!$A$2:$I$88,5,FALSE)</f>
        <v>PANAMA</v>
      </c>
      <c r="G64">
        <f>VLOOKUP(B64,all_ports_list!$A$2:$I$88,6,FALSE)</f>
        <v>100362</v>
      </c>
      <c r="H64">
        <f>VLOOKUP(B64,all_ports_list!$A$2:$I$88,7,FALSE)</f>
        <v>6276</v>
      </c>
      <c r="I64">
        <f>VLOOKUP(B64,all_ports_list!$A$2:$I$88,8,FALSE)</f>
        <v>9.3960000000000008</v>
      </c>
    </row>
    <row r="65" spans="1:9" ht="18.75" thickBot="1">
      <c r="A65" s="2">
        <v>64</v>
      </c>
      <c r="B65" s="2" t="s">
        <v>173</v>
      </c>
      <c r="C65" s="2" t="s">
        <v>342</v>
      </c>
      <c r="D65" t="str">
        <f>VLOOKUP(B65,all_ports_list!$A$2:$I$88,3,FALSE)</f>
        <v>CAL</v>
      </c>
      <c r="E65" t="str">
        <f>VLOOKUP(B65,all_ports_list!$A$2:$I$88,4,FALSE)</f>
        <v>PECLL</v>
      </c>
      <c r="F65" t="str">
        <f>VLOOKUP(B65,all_ports_list!$A$2:$I$88,5,FALSE)</f>
        <v>PERU</v>
      </c>
      <c r="G65">
        <f>VLOOKUP(B65,all_ports_list!$A$2:$I$88,6,FALSE)</f>
        <v>100268</v>
      </c>
      <c r="H65">
        <f>VLOOKUP(B65,all_ports_list!$A$2:$I$88,7,FALSE)</f>
        <v>5542</v>
      </c>
      <c r="I65">
        <f>VLOOKUP(B65,all_ports_list!$A$2:$I$88,8,FALSE)</f>
        <v>-12.0784</v>
      </c>
    </row>
    <row r="66" spans="1:9" ht="18.75" thickBot="1">
      <c r="A66" s="2">
        <v>65</v>
      </c>
      <c r="B66" s="2" t="s">
        <v>177</v>
      </c>
      <c r="C66" s="2" t="s">
        <v>343</v>
      </c>
      <c r="D66" t="e">
        <f>VLOOKUP(B66,all_ports_list!$A$2:$I$88,3,FALSE)</f>
        <v>#N/A</v>
      </c>
      <c r="E66" t="e">
        <f>VLOOKUP(B66,all_ports_list!$A$2:$I$88,4,FALSE)</f>
        <v>#N/A</v>
      </c>
      <c r="F66" t="e">
        <f>VLOOKUP(B66,all_ports_list!$A$2:$I$88,5,FALSE)</f>
        <v>#N/A</v>
      </c>
      <c r="G66" t="e">
        <f>VLOOKUP(B66,all_ports_list!$A$2:$I$88,6,FALSE)</f>
        <v>#N/A</v>
      </c>
      <c r="H66" t="e">
        <f>VLOOKUP(B66,all_ports_list!$A$2:$I$88,7,FALSE)</f>
        <v>#N/A</v>
      </c>
      <c r="I66" t="e">
        <f>VLOOKUP(B66,all_ports_list!$A$2:$I$88,8,FALSE)</f>
        <v>#N/A</v>
      </c>
    </row>
    <row r="67" spans="1:9" ht="18.75" thickBot="1">
      <c r="A67" s="2">
        <v>66</v>
      </c>
      <c r="B67" s="2" t="s">
        <v>181</v>
      </c>
      <c r="C67" s="2" t="s">
        <v>344</v>
      </c>
      <c r="D67" t="str">
        <f>VLOOKUP(B67,all_ports_list!$A$2:$I$88,3,FALSE)</f>
        <v>CAG</v>
      </c>
      <c r="E67" t="str">
        <f>VLOOKUP(B67,all_ports_list!$A$2:$I$88,4,FALSE)</f>
        <v>PHCGY</v>
      </c>
      <c r="F67" t="str">
        <f>VLOOKUP(B67,all_ports_list!$A$2:$I$88,5,FALSE)</f>
        <v>PHILIPPINES</v>
      </c>
      <c r="G67">
        <f>VLOOKUP(B67,all_ports_list!$A$2:$I$88,6,FALSE)</f>
        <v>100265</v>
      </c>
      <c r="H67">
        <f>VLOOKUP(B67,all_ports_list!$A$2:$I$88,7,FALSE)</f>
        <v>11412</v>
      </c>
      <c r="I67">
        <f>VLOOKUP(B67,all_ports_list!$A$2:$I$88,8,FALSE)</f>
        <v>8.4977999999999998</v>
      </c>
    </row>
    <row r="68" spans="1:9" ht="18.75" thickBot="1">
      <c r="A68" s="2">
        <v>67</v>
      </c>
      <c r="B68" s="2" t="s">
        <v>184</v>
      </c>
      <c r="C68" s="2" t="s">
        <v>345</v>
      </c>
      <c r="D68" t="str">
        <f>VLOOKUP(B68,all_ports_list!$A$2:$I$88,3,FALSE)</f>
        <v>DAV</v>
      </c>
      <c r="E68" t="str">
        <f>VLOOKUP(B68,all_ports_list!$A$2:$I$88,4,FALSE)</f>
        <v>PHDVO</v>
      </c>
      <c r="F68" t="str">
        <f>VLOOKUP(B68,all_ports_list!$A$2:$I$88,5,FALSE)</f>
        <v>PHILIPPINES</v>
      </c>
      <c r="G68">
        <f>VLOOKUP(B68,all_ports_list!$A$2:$I$88,6,FALSE)</f>
        <v>100400</v>
      </c>
      <c r="H68">
        <f>VLOOKUP(B68,all_ports_list!$A$2:$I$88,7,FALSE)</f>
        <v>7717</v>
      </c>
      <c r="I68">
        <f>VLOOKUP(B68,all_ports_list!$A$2:$I$88,8,FALSE)</f>
        <v>7.0677000000000003</v>
      </c>
    </row>
    <row r="69" spans="1:9" ht="18.75" thickBot="1">
      <c r="A69" s="2">
        <v>68</v>
      </c>
      <c r="B69" s="2" t="s">
        <v>186</v>
      </c>
      <c r="C69" s="2" t="s">
        <v>346</v>
      </c>
      <c r="D69" t="str">
        <f>VLOOKUP(B69,all_ports_list!$A$2:$I$88,3,FALSE)</f>
        <v>MLA</v>
      </c>
      <c r="E69" t="str">
        <f>VLOOKUP(B69,all_ports_list!$A$2:$I$88,4,FALSE)</f>
        <v>PHMNN/PHMNS</v>
      </c>
      <c r="F69" t="str">
        <f>VLOOKUP(B69,all_ports_list!$A$2:$I$88,5,FALSE)</f>
        <v>PHILIPPINES</v>
      </c>
      <c r="G69">
        <f>VLOOKUP(B69,all_ports_list!$A$2:$I$88,6,FALSE)</f>
        <v>101065</v>
      </c>
      <c r="H69">
        <f>VLOOKUP(B69,all_ports_list!$A$2:$I$88,7,FALSE)</f>
        <v>7412</v>
      </c>
      <c r="I69">
        <f>VLOOKUP(B69,all_ports_list!$A$2:$I$88,8,FALSE)</f>
        <v>14.595499999999999</v>
      </c>
    </row>
    <row r="70" spans="1:9" ht="18.75" thickBot="1">
      <c r="A70" s="2">
        <v>69</v>
      </c>
      <c r="B70" s="2" t="s">
        <v>186</v>
      </c>
      <c r="C70" s="2" t="s">
        <v>346</v>
      </c>
      <c r="D70" t="str">
        <f>VLOOKUP(B70,all_ports_list!$A$2:$I$88,3,FALSE)</f>
        <v>MLA</v>
      </c>
      <c r="E70" t="str">
        <f>VLOOKUP(B70,all_ports_list!$A$2:$I$88,4,FALSE)</f>
        <v>PHMNN/PHMNS</v>
      </c>
      <c r="F70" t="str">
        <f>VLOOKUP(B70,all_ports_list!$A$2:$I$88,5,FALSE)</f>
        <v>PHILIPPINES</v>
      </c>
      <c r="G70">
        <f>VLOOKUP(B70,all_ports_list!$A$2:$I$88,6,FALSE)</f>
        <v>101065</v>
      </c>
      <c r="H70">
        <f>VLOOKUP(B70,all_ports_list!$A$2:$I$88,7,FALSE)</f>
        <v>7412</v>
      </c>
      <c r="I70">
        <f>VLOOKUP(B70,all_ports_list!$A$2:$I$88,8,FALSE)</f>
        <v>14.595499999999999</v>
      </c>
    </row>
    <row r="71" spans="1:9" ht="18.75" thickBot="1">
      <c r="A71" s="2">
        <v>70</v>
      </c>
      <c r="B71" s="2" t="s">
        <v>189</v>
      </c>
      <c r="C71" s="2" t="s">
        <v>347</v>
      </c>
      <c r="D71" t="str">
        <f>VLOOKUP(B71,all_ports_list!$A$2:$I$88,3,FALSE)</f>
        <v>SUB</v>
      </c>
      <c r="E71" t="str">
        <f>VLOOKUP(B71,all_ports_list!$A$2:$I$88,4,FALSE)</f>
        <v>PHSFS</v>
      </c>
      <c r="F71" t="str">
        <f>VLOOKUP(B71,all_ports_list!$A$2:$I$88,5,FALSE)</f>
        <v>PHILIPPINES</v>
      </c>
      <c r="G71">
        <f>VLOOKUP(B71,all_ports_list!$A$2:$I$88,6,FALSE)</f>
        <v>101736</v>
      </c>
      <c r="H71">
        <f>VLOOKUP(B71,all_ports_list!$A$2:$I$88,7,FALSE)</f>
        <v>4341</v>
      </c>
      <c r="I71">
        <f>VLOOKUP(B71,all_ports_list!$A$2:$I$88,8,FALSE)</f>
        <v>14.8064</v>
      </c>
    </row>
    <row r="72" spans="1:9" ht="36.75" thickBot="1">
      <c r="A72" s="2">
        <v>71</v>
      </c>
      <c r="B72" s="2" t="s">
        <v>191</v>
      </c>
      <c r="C72" s="2" t="s">
        <v>348</v>
      </c>
      <c r="D72" t="e">
        <f>VLOOKUP(B72,all_ports_list!$A$2:$I$88,3,FALSE)</f>
        <v>#N/A</v>
      </c>
      <c r="E72" t="e">
        <f>VLOOKUP(B72,all_ports_list!$A$2:$I$88,4,FALSE)</f>
        <v>#N/A</v>
      </c>
      <c r="F72" t="e">
        <f>VLOOKUP(B72,all_ports_list!$A$2:$I$88,5,FALSE)</f>
        <v>#N/A</v>
      </c>
      <c r="G72" t="e">
        <f>VLOOKUP(B72,all_ports_list!$A$2:$I$88,6,FALSE)</f>
        <v>#N/A</v>
      </c>
      <c r="H72" t="e">
        <f>VLOOKUP(B72,all_ports_list!$A$2:$I$88,7,FALSE)</f>
        <v>#N/A</v>
      </c>
      <c r="I72" t="e">
        <f>VLOOKUP(B72,all_ports_list!$A$2:$I$88,8,FALSE)</f>
        <v>#N/A</v>
      </c>
    </row>
    <row r="73" spans="1:9" ht="18.75" thickBot="1">
      <c r="A73" s="2">
        <v>72</v>
      </c>
      <c r="B73" s="2" t="s">
        <v>195</v>
      </c>
      <c r="C73" s="2" t="s">
        <v>349</v>
      </c>
      <c r="D73" t="str">
        <f>VLOOKUP(B73,all_ports_list!$A$2:$I$88,3,FALSE)</f>
        <v>JED</v>
      </c>
      <c r="E73" t="str">
        <f>VLOOKUP(B73,all_ports_list!$A$2:$I$88,4,FALSE)</f>
        <v>SAJED</v>
      </c>
      <c r="F73" t="str">
        <f>VLOOKUP(B73,all_ports_list!$A$2:$I$88,5,FALSE)</f>
        <v>SAUDI ARABIA</v>
      </c>
      <c r="G73">
        <f>VLOOKUP(B73,all_ports_list!$A$2:$I$88,6,FALSE)</f>
        <v>100761</v>
      </c>
      <c r="H73">
        <f>VLOOKUP(B73,all_ports_list!$A$2:$I$88,7,FALSE)</f>
        <v>7940</v>
      </c>
      <c r="I73">
        <f>VLOOKUP(B73,all_ports_list!$A$2:$I$88,8,FALSE)</f>
        <v>21.442499999999999</v>
      </c>
    </row>
    <row r="74" spans="1:9" ht="18.75" thickBot="1">
      <c r="A74" s="2">
        <v>73</v>
      </c>
      <c r="B74" s="2" t="s">
        <v>199</v>
      </c>
      <c r="C74" s="2" t="s">
        <v>350</v>
      </c>
      <c r="D74" t="str">
        <f>VLOOKUP(B74,all_ports_list!$A$2:$I$88,3,FALSE)</f>
        <v>SGP</v>
      </c>
      <c r="E74" t="str">
        <f>VLOOKUP(B74,all_ports_list!$A$2:$I$88,4,FALSE)</f>
        <v>SGSIN</v>
      </c>
      <c r="F74" t="str">
        <f>VLOOKUP(B74,all_ports_list!$A$2:$I$88,5,FALSE)</f>
        <v>SINGAPORE</v>
      </c>
      <c r="G74">
        <f>VLOOKUP(B74,all_ports_list!$A$2:$I$88,6,FALSE)</f>
        <v>101605</v>
      </c>
      <c r="H74">
        <f>VLOOKUP(B74,all_ports_list!$A$2:$I$88,7,FALSE)</f>
        <v>4484</v>
      </c>
      <c r="I74">
        <f>VLOOKUP(B74,all_ports_list!$A$2:$I$88,8,FALSE)</f>
        <v>1.2063999999999999</v>
      </c>
    </row>
    <row r="75" spans="1:9" ht="18.75" thickBot="1">
      <c r="A75" s="2">
        <v>74</v>
      </c>
      <c r="B75" s="2" t="s">
        <v>202</v>
      </c>
      <c r="C75" s="2" t="s">
        <v>351</v>
      </c>
      <c r="D75" t="str">
        <f>VLOOKUP(B75,all_ports_list!$A$2:$I$88,3,FALSE)</f>
        <v>BNG</v>
      </c>
      <c r="E75" t="str">
        <f>VLOOKUP(B75,all_ports_list!$A$2:$I$88,4,FALSE)</f>
        <v>THBKK</v>
      </c>
      <c r="F75" t="str">
        <f>VLOOKUP(B75,all_ports_list!$A$2:$I$88,5,FALSE)</f>
        <v>THAILAND</v>
      </c>
      <c r="G75">
        <f>VLOOKUP(B75,all_ports_list!$A$2:$I$88,6,FALSE)</f>
        <v>100187</v>
      </c>
      <c r="H75">
        <f>VLOOKUP(B75,all_ports_list!$A$2:$I$88,7,FALSE)</f>
        <v>7311</v>
      </c>
      <c r="I75">
        <f>VLOOKUP(B75,all_ports_list!$A$2:$I$88,8,FALSE)</f>
        <v>13.7165</v>
      </c>
    </row>
    <row r="76" spans="1:9" ht="18.75" thickBot="1">
      <c r="A76" s="2">
        <v>75</v>
      </c>
      <c r="B76" s="2" t="s">
        <v>206</v>
      </c>
      <c r="C76" s="2" t="s">
        <v>352</v>
      </c>
      <c r="D76" t="str">
        <f>VLOOKUP(B76,all_ports_list!$A$2:$I$88,3,FALSE)</f>
        <v>LCB</v>
      </c>
      <c r="E76" t="str">
        <f>VLOOKUP(B76,all_ports_list!$A$2:$I$88,4,FALSE)</f>
        <v>THLCH</v>
      </c>
      <c r="F76" t="str">
        <f>VLOOKUP(B76,all_ports_list!$A$2:$I$88,5,FALSE)</f>
        <v>THAILAND</v>
      </c>
      <c r="G76">
        <f>VLOOKUP(B76,all_ports_list!$A$2:$I$88,6,FALSE)</f>
        <v>100921</v>
      </c>
      <c r="H76">
        <f>VLOOKUP(B76,all_ports_list!$A$2:$I$88,7,FALSE)</f>
        <v>7191</v>
      </c>
      <c r="I76">
        <f>VLOOKUP(B76,all_ports_list!$A$2:$I$88,8,FALSE)</f>
        <v>13.065099999999999</v>
      </c>
    </row>
    <row r="77" spans="1:9" ht="18.75" thickBot="1">
      <c r="A77" s="2">
        <v>76</v>
      </c>
      <c r="B77" s="2" t="s">
        <v>209</v>
      </c>
      <c r="C77" s="2" t="s">
        <v>353</v>
      </c>
      <c r="D77" t="str">
        <f>VLOOKUP(B77,all_ports_list!$A$2:$I$88,3,FALSE)</f>
        <v>KEE</v>
      </c>
      <c r="E77" t="str">
        <f>VLOOKUP(B77,all_ports_list!$A$2:$I$88,4,FALSE)</f>
        <v>TWKEL</v>
      </c>
      <c r="F77" t="str">
        <f>VLOOKUP(B77,all_ports_list!$A$2:$I$88,5,FALSE)</f>
        <v>TAIWAN</v>
      </c>
      <c r="G77">
        <f>VLOOKUP(B77,all_ports_list!$A$2:$I$88,6,FALSE)</f>
        <v>100803</v>
      </c>
      <c r="H77">
        <f>VLOOKUP(B77,all_ports_list!$A$2:$I$88,7,FALSE)</f>
        <v>7285</v>
      </c>
      <c r="I77">
        <f>VLOOKUP(B77,all_ports_list!$A$2:$I$88,8,FALSE)</f>
        <v>25.166499999999999</v>
      </c>
    </row>
    <row r="78" spans="1:9" ht="18.75" thickBot="1">
      <c r="A78" s="2">
        <v>77</v>
      </c>
      <c r="B78" s="2" t="s">
        <v>213</v>
      </c>
      <c r="C78" s="2" t="s">
        <v>354</v>
      </c>
      <c r="D78" t="str">
        <f>VLOOKUP(B78,all_ports_list!$A$2:$I$88,3,FALSE)</f>
        <v>KAO</v>
      </c>
      <c r="E78" t="str">
        <f>VLOOKUP(B78,all_ports_list!$A$2:$I$88,4,FALSE)</f>
        <v>TWKHH</v>
      </c>
      <c r="F78" t="str">
        <f>VLOOKUP(B78,all_ports_list!$A$2:$I$88,5,FALSE)</f>
        <v>TAIWAN</v>
      </c>
      <c r="G78">
        <f>VLOOKUP(B78,all_ports_list!$A$2:$I$88,6,FALSE)</f>
        <v>100790</v>
      </c>
      <c r="H78">
        <f>VLOOKUP(B78,all_ports_list!$A$2:$I$88,7,FALSE)</f>
        <v>7348</v>
      </c>
      <c r="I78">
        <f>VLOOKUP(B78,all_ports_list!$A$2:$I$88,8,FALSE)</f>
        <v>22.621400000000001</v>
      </c>
    </row>
    <row r="79" spans="1:9" ht="18.75" thickBot="1">
      <c r="A79" s="2">
        <v>78</v>
      </c>
      <c r="B79" s="2" t="s">
        <v>216</v>
      </c>
      <c r="C79" s="2" t="s">
        <v>355</v>
      </c>
      <c r="D79" t="str">
        <f>VLOOKUP(B79,all_ports_list!$A$2:$I$88,3,FALSE)</f>
        <v>TAT</v>
      </c>
      <c r="E79" t="str">
        <f>VLOOKUP(B79,all_ports_list!$A$2:$I$88,4,FALSE)</f>
        <v>TWTPE</v>
      </c>
      <c r="F79" t="str">
        <f>VLOOKUP(B79,all_ports_list!$A$2:$I$88,5,FALSE)</f>
        <v>TAIWAN</v>
      </c>
      <c r="G79">
        <f>VLOOKUP(B79,all_ports_list!$A$2:$I$88,6,FALSE)</f>
        <v>101776</v>
      </c>
      <c r="H79">
        <f>VLOOKUP(B79,all_ports_list!$A$2:$I$88,7,FALSE)</f>
        <v>8413</v>
      </c>
      <c r="I79">
        <f>VLOOKUP(B79,all_ports_list!$A$2:$I$88,8,FALSE)</f>
        <v>25.151599999999998</v>
      </c>
    </row>
    <row r="80" spans="1:9" ht="18.75" thickBot="1">
      <c r="A80" s="2">
        <v>79</v>
      </c>
      <c r="B80" s="2" t="s">
        <v>219</v>
      </c>
      <c r="C80" s="2" t="s">
        <v>356</v>
      </c>
      <c r="D80" t="str">
        <f>VLOOKUP(B80,all_ports_list!$A$2:$I$88,3,FALSE)</f>
        <v>TCN</v>
      </c>
      <c r="E80" t="str">
        <f>VLOOKUP(B80,all_ports_list!$A$2:$I$88,4,FALSE)</f>
        <v>TWTXG</v>
      </c>
      <c r="F80" t="str">
        <f>VLOOKUP(B80,all_ports_list!$A$2:$I$88,5,FALSE)</f>
        <v>TAIWAN</v>
      </c>
      <c r="G80">
        <f>VLOOKUP(B80,all_ports_list!$A$2:$I$88,6,FALSE)</f>
        <v>101785</v>
      </c>
      <c r="H80">
        <f>VLOOKUP(B80,all_ports_list!$A$2:$I$88,7,FALSE)</f>
        <v>4356</v>
      </c>
      <c r="I80">
        <f>VLOOKUP(B80,all_ports_list!$A$2:$I$88,8,FALSE)</f>
        <v>24.302700000000002</v>
      </c>
    </row>
    <row r="81" spans="1:9" ht="18.75" thickBot="1">
      <c r="A81" s="2">
        <v>80</v>
      </c>
      <c r="B81" s="2" t="s">
        <v>222</v>
      </c>
      <c r="C81" s="2" t="s">
        <v>357</v>
      </c>
      <c r="D81" t="str">
        <f>VLOOKUP(B81,all_ports_list!$A$2:$I$88,3,FALSE)</f>
        <v>CHA</v>
      </c>
      <c r="E81" t="str">
        <f>VLOOKUP(B81,all_ports_list!$A$2:$I$88,4,FALSE)</f>
        <v>USCHS</v>
      </c>
      <c r="F81" t="str">
        <f>VLOOKUP(B81,all_ports_list!$A$2:$I$88,5,FALSE)</f>
        <v>UNITED STATES</v>
      </c>
      <c r="G81">
        <f>VLOOKUP(B81,all_ports_list!$A$2:$I$88,6,FALSE)</f>
        <v>100307</v>
      </c>
      <c r="H81">
        <f>VLOOKUP(B81,all_ports_list!$A$2:$I$88,7,FALSE)</f>
        <v>7992</v>
      </c>
      <c r="I81">
        <f>VLOOKUP(B81,all_ports_list!$A$2:$I$88,8,FALSE)</f>
        <v>32.784999999999997</v>
      </c>
    </row>
    <row r="82" spans="1:9" ht="18.75" thickBot="1">
      <c r="A82" s="2">
        <v>81</v>
      </c>
      <c r="B82" s="2" t="s">
        <v>226</v>
      </c>
      <c r="C82" s="2" t="s">
        <v>358</v>
      </c>
      <c r="D82" t="str">
        <f>VLOOKUP(B82,all_ports_list!$A$2:$I$88,3,FALSE)</f>
        <v>LAX</v>
      </c>
      <c r="E82" t="str">
        <f>VLOOKUP(B82,all_ports_list!$A$2:$I$88,4,FALSE)</f>
        <v>USLAX</v>
      </c>
      <c r="F82" t="str">
        <f>VLOOKUP(B82,all_ports_list!$A$2:$I$88,5,FALSE)</f>
        <v>UNITED STATES</v>
      </c>
      <c r="G82">
        <f>VLOOKUP(B82,all_ports_list!$A$2:$I$88,6,FALSE)</f>
        <v>100917</v>
      </c>
      <c r="H82">
        <f>VLOOKUP(B82,all_ports_list!$A$2:$I$88,7,FALSE)</f>
        <v>4761</v>
      </c>
      <c r="I82">
        <f>VLOOKUP(B82,all_ports_list!$A$2:$I$88,8,FALSE)</f>
        <v>33.698399999999999</v>
      </c>
    </row>
    <row r="83" spans="1:9" ht="18.75" thickBot="1">
      <c r="A83" s="2">
        <v>82</v>
      </c>
      <c r="B83" s="2" t="s">
        <v>229</v>
      </c>
      <c r="C83" s="2" t="s">
        <v>359</v>
      </c>
      <c r="D83" t="str">
        <f>VLOOKUP(B83,all_ports_list!$A$2:$I$88,3,FALSE)</f>
        <v>NYK</v>
      </c>
      <c r="E83" t="str">
        <f>VLOOKUP(B83,all_ports_list!$A$2:$I$88,4,FALSE)</f>
        <v>USNYC</v>
      </c>
      <c r="F83" t="str">
        <f>VLOOKUP(B83,all_ports_list!$A$2:$I$88,5,FALSE)</f>
        <v>UNITED STATES</v>
      </c>
      <c r="G83">
        <f>VLOOKUP(B83,all_ports_list!$A$2:$I$88,6,FALSE)</f>
        <v>101238</v>
      </c>
      <c r="H83">
        <f>VLOOKUP(B83,all_ports_list!$A$2:$I$88,7,FALSE)</f>
        <v>4428</v>
      </c>
      <c r="I83">
        <f>VLOOKUP(B83,all_ports_list!$A$2:$I$88,8,FALSE)</f>
        <v>40.698500000000003</v>
      </c>
    </row>
    <row r="84" spans="1:9" ht="18.75" thickBot="1">
      <c r="A84" s="2">
        <v>83</v>
      </c>
      <c r="B84" s="2" t="s">
        <v>232</v>
      </c>
      <c r="C84" s="2" t="s">
        <v>360</v>
      </c>
      <c r="D84" t="str">
        <f>VLOOKUP(B84,all_ports_list!$A$2:$I$88,3,FALSE)</f>
        <v>OAK</v>
      </c>
      <c r="E84" t="str">
        <f>VLOOKUP(B84,all_ports_list!$A$2:$I$88,4,FALSE)</f>
        <v>USOAK</v>
      </c>
      <c r="F84" t="str">
        <f>VLOOKUP(B84,all_ports_list!$A$2:$I$88,5,FALSE)</f>
        <v>UNITED STATES</v>
      </c>
      <c r="G84">
        <f>VLOOKUP(B84,all_ports_list!$A$2:$I$88,6,FALSE)</f>
        <v>101239</v>
      </c>
      <c r="H84">
        <f>VLOOKUP(B84,all_ports_list!$A$2:$I$88,7,FALSE)</f>
        <v>7415</v>
      </c>
      <c r="I84">
        <f>VLOOKUP(B84,all_ports_list!$A$2:$I$88,8,FALSE)</f>
        <v>37.800899999999999</v>
      </c>
    </row>
    <row r="85" spans="1:9" ht="18.75" thickBot="1">
      <c r="A85" s="2">
        <v>84</v>
      </c>
      <c r="B85" s="2" t="s">
        <v>235</v>
      </c>
      <c r="C85" s="2" t="s">
        <v>361</v>
      </c>
      <c r="D85" t="str">
        <f>VLOOKUP(B85,all_ports_list!$A$2:$I$88,3,FALSE)</f>
        <v>NOR</v>
      </c>
      <c r="E85" t="str">
        <f>VLOOKUP(B85,all_ports_list!$A$2:$I$88,4,FALSE)</f>
        <v>USORF</v>
      </c>
      <c r="F85" t="str">
        <f>VLOOKUP(B85,all_ports_list!$A$2:$I$88,5,FALSE)</f>
        <v>UNITED STATES</v>
      </c>
      <c r="G85">
        <f>VLOOKUP(B85,all_ports_list!$A$2:$I$88,6,FALSE)</f>
        <v>101213</v>
      </c>
      <c r="H85">
        <f>VLOOKUP(B85,all_ports_list!$A$2:$I$88,7,FALSE)</f>
        <v>6290</v>
      </c>
      <c r="I85">
        <f>VLOOKUP(B85,all_ports_list!$A$2:$I$88,8,FALSE)</f>
        <v>36.848999999999997</v>
      </c>
    </row>
    <row r="86" spans="1:9" ht="18.75" thickBot="1">
      <c r="A86" s="2">
        <v>85</v>
      </c>
      <c r="B86" s="2" t="s">
        <v>238</v>
      </c>
      <c r="C86" s="2" t="s">
        <v>362</v>
      </c>
      <c r="D86" t="str">
        <f>VLOOKUP(B86,all_ports_list!$A$2:$I$88,3,FALSE)</f>
        <v>SVA</v>
      </c>
      <c r="E86" t="str">
        <f>VLOOKUP(B86,all_ports_list!$A$2:$I$88,4,FALSE)</f>
        <v>USSAV</v>
      </c>
      <c r="F86" t="str">
        <f>VLOOKUP(B86,all_ports_list!$A$2:$I$88,5,FALSE)</f>
        <v>UNITED STATES</v>
      </c>
      <c r="G86">
        <f>VLOOKUP(B86,all_ports_list!$A$2:$I$88,6,FALSE)</f>
        <v>101748</v>
      </c>
      <c r="H86">
        <f>VLOOKUP(B86,all_ports_list!$A$2:$I$88,7,FALSE)</f>
        <v>4575</v>
      </c>
      <c r="I86">
        <f>VLOOKUP(B86,all_ports_list!$A$2:$I$88,8,FALSE)</f>
        <v>32.1325</v>
      </c>
    </row>
    <row r="87" spans="1:9" ht="18.75" thickBot="1">
      <c r="A87" s="2">
        <v>86</v>
      </c>
      <c r="B87" s="2" t="s">
        <v>241</v>
      </c>
      <c r="C87" s="2" t="s">
        <v>363</v>
      </c>
      <c r="D87" t="str">
        <f>VLOOKUP(B87,all_ports_list!$A$2:$I$88,3,FALSE)</f>
        <v>CAIL</v>
      </c>
      <c r="E87" t="str">
        <f>VLOOKUP(B87,all_ports_list!$A$2:$I$88,4,FALSE)</f>
        <v>VNCLP</v>
      </c>
      <c r="F87" t="str">
        <f>VLOOKUP(B87,all_ports_list!$A$2:$I$88,5,FALSE)</f>
        <v>VIET NAM</v>
      </c>
      <c r="G87">
        <f>VLOOKUP(B87,all_ports_list!$A$2:$I$88,6,FALSE)</f>
        <v>100266</v>
      </c>
      <c r="H87">
        <f>VLOOKUP(B87,all_ports_list!$A$2:$I$88,7,FALSE)</f>
        <v>4032</v>
      </c>
      <c r="I87">
        <f>VLOOKUP(B87,all_ports_list!$A$2:$I$88,8,FALSE)</f>
        <v>20.972899999999999</v>
      </c>
    </row>
    <row r="88" spans="1:9" ht="18.75" thickBot="1">
      <c r="A88" s="2">
        <v>87</v>
      </c>
      <c r="B88" s="2" t="s">
        <v>245</v>
      </c>
      <c r="C88" s="2" t="s">
        <v>364</v>
      </c>
      <c r="D88" t="str">
        <f>VLOOKUP(B88,all_ports_list!$A$2:$I$88,3,FALSE)</f>
        <v>DAN</v>
      </c>
      <c r="E88" t="str">
        <f>VLOOKUP(B88,all_ports_list!$A$2:$I$88,4,FALSE)</f>
        <v>VNDAD</v>
      </c>
      <c r="F88" t="str">
        <f>VLOOKUP(B88,all_ports_list!$A$2:$I$88,5,FALSE)</f>
        <v>VIET NAM</v>
      </c>
      <c r="G88">
        <f>VLOOKUP(B88,all_ports_list!$A$2:$I$88,6,FALSE)</f>
        <v>100396</v>
      </c>
      <c r="H88">
        <f>VLOOKUP(B88,all_ports_list!$A$2:$I$88,7,FALSE)</f>
        <v>6068</v>
      </c>
      <c r="I88">
        <f>VLOOKUP(B88,all_ports_list!$A$2:$I$88,8,FALSE)</f>
        <v>16.099699999999999</v>
      </c>
    </row>
    <row r="89" spans="1:9" ht="18.75" thickBot="1">
      <c r="A89" s="2">
        <v>88</v>
      </c>
      <c r="B89" s="2" t="s">
        <v>248</v>
      </c>
      <c r="C89" s="2" t="s">
        <v>365</v>
      </c>
      <c r="D89" t="str">
        <f>VLOOKUP(B89,all_ports_list!$A$2:$I$88,3,FALSE)</f>
        <v>HAI</v>
      </c>
      <c r="E89" t="str">
        <f>VLOOKUP(B89,all_ports_list!$A$2:$I$88,4,FALSE)</f>
        <v>VNHPH</v>
      </c>
      <c r="F89" t="str">
        <f>VLOOKUP(B89,all_ports_list!$A$2:$I$88,5,FALSE)</f>
        <v>VIET NAM</v>
      </c>
      <c r="G89">
        <f>VLOOKUP(B89,all_ports_list!$A$2:$I$88,6,FALSE)</f>
        <v>100628</v>
      </c>
      <c r="H89">
        <f>VLOOKUP(B89,all_ports_list!$A$2:$I$88,7,FALSE)</f>
        <v>4089</v>
      </c>
      <c r="I89">
        <f>VLOOKUP(B89,all_ports_list!$A$2:$I$88,8,FALSE)</f>
        <v>20.869299999999999</v>
      </c>
    </row>
    <row r="90" spans="1:9" ht="18.75" thickBot="1">
      <c r="A90" s="2">
        <v>89</v>
      </c>
      <c r="B90" s="2" t="s">
        <v>250</v>
      </c>
      <c r="C90" s="2" t="s">
        <v>366</v>
      </c>
      <c r="D90" t="e">
        <f>VLOOKUP(B90,all_ports_list!$A$2:$I$88,3,FALSE)</f>
        <v>#N/A</v>
      </c>
      <c r="E90" t="e">
        <f>VLOOKUP(B90,all_ports_list!$A$2:$I$88,4,FALSE)</f>
        <v>#N/A</v>
      </c>
      <c r="F90" t="e">
        <f>VLOOKUP(B90,all_ports_list!$A$2:$I$88,5,FALSE)</f>
        <v>#N/A</v>
      </c>
      <c r="G90" t="e">
        <f>VLOOKUP(B90,all_ports_list!$A$2:$I$88,6,FALSE)</f>
        <v>#N/A</v>
      </c>
      <c r="H90" t="e">
        <f>VLOOKUP(B90,all_ports_list!$A$2:$I$88,7,FALSE)</f>
        <v>#N/A</v>
      </c>
      <c r="I90" t="e">
        <f>VLOOKUP(B90,all_ports_list!$A$2:$I$88,8,FALSE)</f>
        <v>#N/A</v>
      </c>
    </row>
    <row r="91" spans="1:9" ht="18.75" thickBot="1">
      <c r="A91" s="2">
        <v>90</v>
      </c>
      <c r="B91" s="2" t="s">
        <v>252</v>
      </c>
      <c r="C91" s="2" t="s">
        <v>367</v>
      </c>
      <c r="D91" t="e">
        <f>VLOOKUP(B91,all_ports_list!$A$2:$I$88,3,FALSE)</f>
        <v>#N/A</v>
      </c>
      <c r="E91" t="e">
        <f>VLOOKUP(B91,all_ports_list!$A$2:$I$88,4,FALSE)</f>
        <v>#N/A</v>
      </c>
      <c r="F91" t="e">
        <f>VLOOKUP(B91,all_ports_list!$A$2:$I$88,5,FALSE)</f>
        <v>#N/A</v>
      </c>
      <c r="G91" t="e">
        <f>VLOOKUP(B91,all_ports_list!$A$2:$I$88,6,FALSE)</f>
        <v>#N/A</v>
      </c>
      <c r="H91" t="e">
        <f>VLOOKUP(B91,all_ports_list!$A$2:$I$88,7,FALSE)</f>
        <v>#N/A</v>
      </c>
      <c r="I91" t="e">
        <f>VLOOKUP(B91,all_ports_list!$A$2:$I$88,8,FALSE)</f>
        <v>#N/A</v>
      </c>
    </row>
    <row r="92" spans="1:9" ht="18.75" thickBot="1">
      <c r="A92" s="2">
        <v>91</v>
      </c>
      <c r="B92" s="2" t="s">
        <v>256</v>
      </c>
      <c r="C92" s="2" t="s">
        <v>368</v>
      </c>
      <c r="D92" t="e">
        <f>VLOOKUP(B92,all_ports_list!$A$2:$I$88,3,FALSE)</f>
        <v>#N/A</v>
      </c>
      <c r="E92" t="e">
        <f>VLOOKUP(B92,all_ports_list!$A$2:$I$88,4,FALSE)</f>
        <v>#N/A</v>
      </c>
      <c r="F92" t="e">
        <f>VLOOKUP(B92,all_ports_list!$A$2:$I$88,5,FALSE)</f>
        <v>#N/A</v>
      </c>
      <c r="G92" t="e">
        <f>VLOOKUP(B92,all_ports_list!$A$2:$I$88,6,FALSE)</f>
        <v>#N/A</v>
      </c>
      <c r="H92" t="e">
        <f>VLOOKUP(B92,all_ports_list!$A$2:$I$88,7,FALSE)</f>
        <v>#N/A</v>
      </c>
      <c r="I92" t="e">
        <f>VLOOKUP(B92,all_ports_list!$A$2:$I$88,8,FALSE)</f>
        <v>#N/A</v>
      </c>
    </row>
    <row r="93" spans="1:9" ht="18.75" thickBot="1">
      <c r="A93" s="2">
        <v>92</v>
      </c>
      <c r="B93" s="2" t="s">
        <v>272</v>
      </c>
      <c r="C93" s="2" t="s">
        <v>369</v>
      </c>
      <c r="D93" t="e">
        <f>VLOOKUP(B93,all_ports_list!$A$2:$I$88,3,FALSE)</f>
        <v>#N/A</v>
      </c>
      <c r="E93" t="e">
        <f>VLOOKUP(B93,all_ports_list!$A$2:$I$88,4,FALSE)</f>
        <v>#N/A</v>
      </c>
      <c r="F93" t="e">
        <f>VLOOKUP(B93,all_ports_list!$A$2:$I$88,5,FALSE)</f>
        <v>#N/A</v>
      </c>
      <c r="G93" t="e">
        <f>VLOOKUP(B93,all_ports_list!$A$2:$I$88,6,FALSE)</f>
        <v>#N/A</v>
      </c>
      <c r="H93" t="e">
        <f>VLOOKUP(B93,all_ports_list!$A$2:$I$88,7,FALSE)</f>
        <v>#N/A</v>
      </c>
      <c r="I93" t="e">
        <f>VLOOKUP(B93,all_ports_list!$A$2:$I$88,8,FALSE)</f>
        <v>#N/A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all_ports_list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chung</dc:creator>
  <cp:lastModifiedBy>harry chung /tw.tpe-tech</cp:lastModifiedBy>
  <dcterms:created xsi:type="dcterms:W3CDTF">2015-06-05T18:19:34Z</dcterms:created>
  <dcterms:modified xsi:type="dcterms:W3CDTF">2026-04-15T04:02:11Z</dcterms:modified>
</cp:coreProperties>
</file>